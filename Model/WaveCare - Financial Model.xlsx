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amtuananh/Downloads/BD &amp; BL/"/>
    </mc:Choice>
  </mc:AlternateContent>
  <xr:revisionPtr revIDLastSave="0" documentId="13_ncr:1_{C131E901-B104-7144-A210-72E1BEDADC13}" xr6:coauthVersionLast="47" xr6:coauthVersionMax="47" xr10:uidLastSave="{00000000-0000-0000-0000-000000000000}"/>
  <bookViews>
    <workbookView xWindow="0" yWindow="500" windowWidth="28340" windowHeight="17340" activeTab="2" xr2:uid="{51C94CC5-0C2F-6D4D-9C41-E0029B3FD163}"/>
  </bookViews>
  <sheets>
    <sheet name="1-Financial Model" sheetId="1" r:id="rId1"/>
    <sheet name="2-Monthly Service Revenue" sheetId="5" r:id="rId2"/>
    <sheet name="3-Human Resource" sheetId="6" r:id="rId3"/>
    <sheet name="4-BD Scaling " sheetId="3" r:id="rId4"/>
    <sheet name="5-NPV IRR" sheetId="7" r:id="rId5"/>
    <sheet name="6-Referenc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1" l="1"/>
  <c r="C11" i="7"/>
  <c r="C3" i="7"/>
  <c r="F7" i="7"/>
  <c r="E7" i="7"/>
  <c r="C7" i="7"/>
  <c r="C6" i="7"/>
  <c r="C5" i="7"/>
  <c r="C4" i="7"/>
  <c r="E4" i="7"/>
  <c r="D57" i="1"/>
  <c r="D58" i="1" s="1"/>
  <c r="E50" i="1"/>
  <c r="F50" i="1"/>
  <c r="G50" i="1"/>
  <c r="H50" i="1"/>
  <c r="D50" i="1"/>
  <c r="F33" i="1"/>
  <c r="G33" i="1"/>
  <c r="H33" i="1" s="1"/>
  <c r="E33" i="1"/>
  <c r="E5" i="7"/>
  <c r="E6" i="7"/>
  <c r="E8" i="7"/>
  <c r="E3" i="7"/>
  <c r="D9" i="1"/>
  <c r="E59" i="1"/>
  <c r="F59" i="1"/>
  <c r="G59" i="1"/>
  <c r="H59" i="1"/>
  <c r="D59" i="1"/>
  <c r="D46" i="1"/>
  <c r="E54" i="1"/>
  <c r="F54" i="1"/>
  <c r="G54" i="1"/>
  <c r="H54" i="1"/>
  <c r="D54" i="1"/>
  <c r="D52" i="1"/>
  <c r="E48" i="1"/>
  <c r="F48" i="1"/>
  <c r="G48" i="1"/>
  <c r="H48" i="1"/>
  <c r="D48" i="1"/>
  <c r="G17" i="6"/>
  <c r="H17" i="6"/>
  <c r="I17" i="6" s="1"/>
  <c r="F17" i="6"/>
  <c r="G16" i="6"/>
  <c r="H16" i="6"/>
  <c r="I16" i="6"/>
  <c r="F16" i="6"/>
  <c r="E45" i="1" s="1"/>
  <c r="D45" i="1"/>
  <c r="G23" i="6"/>
  <c r="H23" i="6" s="1"/>
  <c r="I23" i="6" s="1"/>
  <c r="F23" i="6"/>
  <c r="G19" i="6"/>
  <c r="H19" i="6" s="1"/>
  <c r="I19" i="6" s="1"/>
  <c r="F19" i="6"/>
  <c r="E19" i="6"/>
  <c r="E23" i="6"/>
  <c r="E17" i="6"/>
  <c r="E16" i="6"/>
  <c r="D25" i="1"/>
  <c r="E25" i="1" s="1"/>
  <c r="F25" i="1" s="1"/>
  <c r="G25" i="1" s="1"/>
  <c r="H25" i="1" s="1"/>
  <c r="E32" i="1"/>
  <c r="F32" i="1" s="1"/>
  <c r="G32" i="1" s="1"/>
  <c r="H32" i="1" s="1"/>
  <c r="H52" i="1" s="1"/>
  <c r="F13" i="6"/>
  <c r="G13" i="6"/>
  <c r="F30" i="1" s="1"/>
  <c r="F55" i="1" s="1"/>
  <c r="H13" i="6"/>
  <c r="G30" i="1" s="1"/>
  <c r="G55" i="1" s="1"/>
  <c r="I13" i="6"/>
  <c r="H30" i="1" s="1"/>
  <c r="H55" i="1" s="1"/>
  <c r="E13" i="6"/>
  <c r="D30" i="1" s="1"/>
  <c r="D55" i="1" s="1"/>
  <c r="F3" i="3"/>
  <c r="F4" i="3"/>
  <c r="F5" i="3"/>
  <c r="F8" i="3" s="1"/>
  <c r="F6" i="3"/>
  <c r="F7" i="3"/>
  <c r="E23" i="1"/>
  <c r="F23" i="1" s="1"/>
  <c r="G23" i="1" s="1"/>
  <c r="H23" i="1" s="1"/>
  <c r="D22" i="1"/>
  <c r="E22" i="1" s="1"/>
  <c r="F22" i="1" s="1"/>
  <c r="G22" i="1" s="1"/>
  <c r="H22" i="1" s="1"/>
  <c r="E81" i="5"/>
  <c r="E80" i="5"/>
  <c r="E79" i="5"/>
  <c r="E78" i="5"/>
  <c r="E77" i="5"/>
  <c r="E76" i="5"/>
  <c r="E75" i="5"/>
  <c r="E74" i="5"/>
  <c r="E73" i="5"/>
  <c r="E72" i="5"/>
  <c r="E71" i="5"/>
  <c r="E70" i="5"/>
  <c r="E65" i="5"/>
  <c r="E64" i="5"/>
  <c r="E63" i="5"/>
  <c r="E62" i="5"/>
  <c r="E61" i="5"/>
  <c r="E60" i="5"/>
  <c r="E59" i="5"/>
  <c r="E58" i="5"/>
  <c r="E57" i="5"/>
  <c r="E56" i="5"/>
  <c r="E55" i="5"/>
  <c r="E54" i="5"/>
  <c r="E49" i="5"/>
  <c r="E48" i="5"/>
  <c r="E47" i="5"/>
  <c r="E46" i="5"/>
  <c r="E45" i="5"/>
  <c r="E44" i="5"/>
  <c r="E43" i="5"/>
  <c r="E42" i="5"/>
  <c r="E41" i="5"/>
  <c r="E40" i="5"/>
  <c r="E39" i="5"/>
  <c r="E38" i="5"/>
  <c r="D8" i="1"/>
  <c r="D11" i="1" s="1"/>
  <c r="E6" i="1"/>
  <c r="E8" i="1" s="1"/>
  <c r="E11" i="1" s="1"/>
  <c r="G52" i="1" l="1"/>
  <c r="F52" i="1"/>
  <c r="E52" i="1"/>
  <c r="E31" i="1"/>
  <c r="E56" i="1" s="1"/>
  <c r="E30" i="1"/>
  <c r="E55" i="1" s="1"/>
  <c r="D31" i="1"/>
  <c r="D56" i="1" s="1"/>
  <c r="H31" i="1"/>
  <c r="H56" i="1" s="1"/>
  <c r="G31" i="1"/>
  <c r="G56" i="1" s="1"/>
  <c r="F31" i="1"/>
  <c r="F56" i="1" s="1"/>
  <c r="E9" i="1"/>
  <c r="F6" i="1"/>
  <c r="F8" i="1" s="1"/>
  <c r="F45" i="1" l="1"/>
  <c r="F9" i="1"/>
  <c r="F11" i="1" s="1"/>
  <c r="D28" i="5"/>
  <c r="D29" i="5"/>
  <c r="D30" i="5"/>
  <c r="D23" i="5"/>
  <c r="D31" i="5"/>
  <c r="D25" i="5"/>
  <c r="D33" i="5"/>
  <c r="D26" i="5"/>
  <c r="D22" i="5"/>
  <c r="D27" i="5"/>
  <c r="D24" i="5"/>
  <c r="D32" i="5"/>
  <c r="E15" i="1"/>
  <c r="F20" i="6" s="1"/>
  <c r="D8" i="5"/>
  <c r="D16" i="5"/>
  <c r="D9" i="5"/>
  <c r="D17" i="5"/>
  <c r="D10" i="5"/>
  <c r="D6" i="5"/>
  <c r="D11" i="5"/>
  <c r="D13" i="5"/>
  <c r="D15" i="1"/>
  <c r="E20" i="6" s="1"/>
  <c r="D14" i="5"/>
  <c r="D7" i="5"/>
  <c r="D15" i="5"/>
  <c r="D12" i="5"/>
  <c r="G6" i="1"/>
  <c r="G8" i="1" s="1"/>
  <c r="G9" i="1" s="1"/>
  <c r="E49" i="1" l="1"/>
  <c r="F21" i="6"/>
  <c r="F24" i="6" s="1"/>
  <c r="E29" i="1" s="1"/>
  <c r="D24" i="1"/>
  <c r="G45" i="1"/>
  <c r="G15" i="1"/>
  <c r="H20" i="6" s="1"/>
  <c r="D59" i="5"/>
  <c r="D60" i="5"/>
  <c r="D61" i="5"/>
  <c r="G11" i="1"/>
  <c r="D62" i="5"/>
  <c r="D55" i="5"/>
  <c r="D63" i="5"/>
  <c r="D57" i="5"/>
  <c r="D65" i="5"/>
  <c r="D58" i="5"/>
  <c r="D54" i="5"/>
  <c r="D56" i="5"/>
  <c r="D64" i="5"/>
  <c r="E24" i="1"/>
  <c r="D16" i="1"/>
  <c r="E16" i="1"/>
  <c r="F6" i="5"/>
  <c r="D18" i="5"/>
  <c r="D40" i="5"/>
  <c r="D48" i="5"/>
  <c r="D41" i="5"/>
  <c r="D49" i="5"/>
  <c r="D42" i="5"/>
  <c r="D38" i="5"/>
  <c r="D43" i="5"/>
  <c r="F15" i="1"/>
  <c r="G20" i="6" s="1"/>
  <c r="D45" i="5"/>
  <c r="D46" i="5"/>
  <c r="D39" i="5"/>
  <c r="D47" i="5"/>
  <c r="D44" i="5"/>
  <c r="H6" i="1"/>
  <c r="H8" i="1" s="1"/>
  <c r="H9" i="1" s="1"/>
  <c r="G49" i="1" l="1"/>
  <c r="H21" i="6"/>
  <c r="H24" i="6" s="1"/>
  <c r="G29" i="1" s="1"/>
  <c r="D49" i="1"/>
  <c r="E21" i="6"/>
  <c r="E24" i="6" s="1"/>
  <c r="D29" i="1" s="1"/>
  <c r="F24" i="1"/>
  <c r="E39" i="1"/>
  <c r="F49" i="1"/>
  <c r="G21" i="6"/>
  <c r="G24" i="6" s="1"/>
  <c r="F29" i="1" s="1"/>
  <c r="H45" i="1"/>
  <c r="H15" i="1"/>
  <c r="I20" i="6" s="1"/>
  <c r="D73" i="5"/>
  <c r="D81" i="5"/>
  <c r="D74" i="5"/>
  <c r="D70" i="5"/>
  <c r="D75" i="5"/>
  <c r="D76" i="5"/>
  <c r="D77" i="5"/>
  <c r="D71" i="5"/>
  <c r="D79" i="5"/>
  <c r="D72" i="5"/>
  <c r="D80" i="5"/>
  <c r="D78" i="5"/>
  <c r="H11" i="1"/>
  <c r="F16" i="1"/>
  <c r="G16" i="1"/>
  <c r="F7" i="5"/>
  <c r="G6" i="5"/>
  <c r="C32" i="5"/>
  <c r="C27" i="5"/>
  <c r="C25" i="5"/>
  <c r="C26" i="5"/>
  <c r="C28" i="5"/>
  <c r="C29" i="5"/>
  <c r="C30" i="5"/>
  <c r="C33" i="5"/>
  <c r="C24" i="5"/>
  <c r="C22" i="5"/>
  <c r="C23" i="5"/>
  <c r="C31" i="5"/>
  <c r="G24" i="1" l="1"/>
  <c r="F39" i="1"/>
  <c r="H49" i="1"/>
  <c r="I21" i="6"/>
  <c r="I24" i="6" s="1"/>
  <c r="H29" i="1" s="1"/>
  <c r="H16" i="1"/>
  <c r="F22" i="5"/>
  <c r="D34" i="5"/>
  <c r="F8" i="5"/>
  <c r="G7" i="5"/>
  <c r="H24" i="1" l="1"/>
  <c r="H39" i="1" s="1"/>
  <c r="G39" i="1"/>
  <c r="F9" i="5"/>
  <c r="G8" i="5"/>
  <c r="C38" i="5"/>
  <c r="F38" i="5" s="1"/>
  <c r="F23" i="5"/>
  <c r="G22" i="5"/>
  <c r="C39" i="5" l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F24" i="5"/>
  <c r="G23" i="5"/>
  <c r="F10" i="5"/>
  <c r="G9" i="5"/>
  <c r="D50" i="5"/>
  <c r="F39" i="5" l="1"/>
  <c r="G38" i="5"/>
  <c r="F11" i="5"/>
  <c r="G10" i="5"/>
  <c r="F25" i="5"/>
  <c r="G24" i="5"/>
  <c r="F12" i="5" l="1"/>
  <c r="G11" i="5"/>
  <c r="F26" i="5"/>
  <c r="G25" i="5"/>
  <c r="F40" i="5"/>
  <c r="G39" i="5"/>
  <c r="F27" i="5" l="1"/>
  <c r="G26" i="5"/>
  <c r="F13" i="5"/>
  <c r="G12" i="5"/>
  <c r="F41" i="5"/>
  <c r="G40" i="5"/>
  <c r="F14" i="5" l="1"/>
  <c r="G13" i="5"/>
  <c r="F42" i="5"/>
  <c r="G41" i="5"/>
  <c r="F28" i="5"/>
  <c r="G27" i="5"/>
  <c r="F43" i="5" l="1"/>
  <c r="G42" i="5"/>
  <c r="F29" i="5"/>
  <c r="G28" i="5"/>
  <c r="F15" i="5"/>
  <c r="G14" i="5"/>
  <c r="F44" i="5" l="1"/>
  <c r="G43" i="5"/>
  <c r="F30" i="5"/>
  <c r="G29" i="5"/>
  <c r="F16" i="5"/>
  <c r="G15" i="5"/>
  <c r="F17" i="5" l="1"/>
  <c r="G16" i="5"/>
  <c r="F31" i="5"/>
  <c r="G30" i="5"/>
  <c r="F45" i="5"/>
  <c r="G44" i="5"/>
  <c r="G17" i="5" l="1"/>
  <c r="G18" i="5" s="1"/>
  <c r="F18" i="5"/>
  <c r="G31" i="5"/>
  <c r="F32" i="5"/>
  <c r="F46" i="5"/>
  <c r="G45" i="5"/>
  <c r="D17" i="1" l="1"/>
  <c r="D18" i="1" s="1"/>
  <c r="D38" i="1" s="1"/>
  <c r="D40" i="1" s="1"/>
  <c r="D60" i="1" s="1"/>
  <c r="D62" i="1" s="1"/>
  <c r="F47" i="5"/>
  <c r="G46" i="5"/>
  <c r="F33" i="5"/>
  <c r="G32" i="5"/>
  <c r="F3" i="7" l="1"/>
  <c r="D41" i="1"/>
  <c r="G33" i="5"/>
  <c r="G34" i="5" s="1"/>
  <c r="F34" i="5"/>
  <c r="F48" i="5"/>
  <c r="G47" i="5"/>
  <c r="E17" i="1" l="1"/>
  <c r="E18" i="1" s="1"/>
  <c r="E27" i="1" s="1"/>
  <c r="F49" i="5"/>
  <c r="G48" i="5"/>
  <c r="E38" i="1" l="1"/>
  <c r="E40" i="1" s="1"/>
  <c r="G49" i="5"/>
  <c r="G50" i="5" s="1"/>
  <c r="F50" i="5"/>
  <c r="C54" i="5" s="1"/>
  <c r="E46" i="1" l="1"/>
  <c r="E57" i="1" s="1"/>
  <c r="E58" i="1" s="1"/>
  <c r="E60" i="1" s="1"/>
  <c r="E41" i="1"/>
  <c r="F17" i="1"/>
  <c r="F18" i="1" s="1"/>
  <c r="C55" i="5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F54" i="5"/>
  <c r="D66" i="5"/>
  <c r="E61" i="1" l="1"/>
  <c r="E62" i="1" s="1"/>
  <c r="F38" i="1"/>
  <c r="F40" i="1" s="1"/>
  <c r="F27" i="1"/>
  <c r="G54" i="5"/>
  <c r="F55" i="5"/>
  <c r="F4" i="7" l="1"/>
  <c r="F46" i="1"/>
  <c r="F57" i="1" s="1"/>
  <c r="F58" i="1" s="1"/>
  <c r="F60" i="1" s="1"/>
  <c r="F41" i="1"/>
  <c r="F56" i="5"/>
  <c r="G55" i="5"/>
  <c r="F61" i="1" l="1"/>
  <c r="F62" i="1" s="1"/>
  <c r="F57" i="5"/>
  <c r="G56" i="5"/>
  <c r="F5" i="7" l="1"/>
  <c r="G57" i="5"/>
  <c r="F58" i="5"/>
  <c r="F59" i="5" l="1"/>
  <c r="G58" i="5"/>
  <c r="G59" i="5" l="1"/>
  <c r="F60" i="5"/>
  <c r="G60" i="5" l="1"/>
  <c r="F61" i="5"/>
  <c r="G61" i="5" l="1"/>
  <c r="F62" i="5"/>
  <c r="F63" i="5" l="1"/>
  <c r="G62" i="5"/>
  <c r="G63" i="5" l="1"/>
  <c r="F64" i="5"/>
  <c r="F65" i="5" l="1"/>
  <c r="G64" i="5"/>
  <c r="F66" i="5" l="1"/>
  <c r="C70" i="5" s="1"/>
  <c r="G65" i="5"/>
  <c r="G66" i="5" s="1"/>
  <c r="G17" i="1" l="1"/>
  <c r="G18" i="1" s="1"/>
  <c r="C71" i="5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F70" i="5"/>
  <c r="D82" i="5"/>
  <c r="G38" i="1" l="1"/>
  <c r="G40" i="1" s="1"/>
  <c r="G27" i="1"/>
  <c r="F71" i="5"/>
  <c r="G70" i="5"/>
  <c r="G46" i="1" l="1"/>
  <c r="G57" i="1" s="1"/>
  <c r="G58" i="1" s="1"/>
  <c r="G60" i="1" s="1"/>
  <c r="G41" i="1"/>
  <c r="F72" i="5"/>
  <c r="G71" i="5"/>
  <c r="G61" i="1" l="1"/>
  <c r="G62" i="1"/>
  <c r="F6" i="7" s="1"/>
  <c r="F73" i="5"/>
  <c r="G72" i="5"/>
  <c r="G73" i="5" l="1"/>
  <c r="F74" i="5"/>
  <c r="G74" i="5" l="1"/>
  <c r="F75" i="5"/>
  <c r="G75" i="5" l="1"/>
  <c r="F76" i="5"/>
  <c r="G76" i="5" l="1"/>
  <c r="F77" i="5"/>
  <c r="G77" i="5" l="1"/>
  <c r="F78" i="5"/>
  <c r="F79" i="5" l="1"/>
  <c r="G78" i="5"/>
  <c r="F80" i="5" l="1"/>
  <c r="G79" i="5"/>
  <c r="F81" i="5" l="1"/>
  <c r="G80" i="5"/>
  <c r="G81" i="5" l="1"/>
  <c r="G82" i="5" s="1"/>
  <c r="F82" i="5"/>
  <c r="H17" i="1" l="1"/>
  <c r="H18" i="1" s="1"/>
  <c r="G84" i="5"/>
  <c r="H38" i="1" l="1"/>
  <c r="H40" i="1" s="1"/>
  <c r="H27" i="1"/>
  <c r="H46" i="1" l="1"/>
  <c r="H57" i="1" s="1"/>
  <c r="H58" i="1" s="1"/>
  <c r="H60" i="1" s="1"/>
  <c r="H41" i="1"/>
  <c r="H61" i="1" l="1"/>
  <c r="H62" i="1" s="1"/>
  <c r="C8" i="7" s="1"/>
  <c r="F8" i="7" l="1"/>
  <c r="F9" i="7" s="1"/>
</calcChain>
</file>

<file path=xl/sharedStrings.xml><?xml version="1.0" encoding="utf-8"?>
<sst xmlns="http://schemas.openxmlformats.org/spreadsheetml/2006/main" count="276" uniqueCount="147">
  <si>
    <t>Assumptions</t>
  </si>
  <si>
    <t>COGS</t>
  </si>
  <si>
    <t>Revenue Assumptions</t>
  </si>
  <si>
    <t>Variable</t>
  </si>
  <si>
    <t>Fixed</t>
  </si>
  <si>
    <t>Salaries</t>
  </si>
  <si>
    <t>Revenue</t>
  </si>
  <si>
    <t>Gross Profit</t>
  </si>
  <si>
    <t>Gross Profit Margin</t>
  </si>
  <si>
    <t>Tax Rate</t>
  </si>
  <si>
    <t>#</t>
  </si>
  <si>
    <t>Unit</t>
  </si>
  <si>
    <t>%</t>
  </si>
  <si>
    <t>$</t>
  </si>
  <si>
    <t>WaveCare Forecast</t>
  </si>
  <si>
    <t>Nursing Institute Report</t>
  </si>
  <si>
    <t>https://nurse.mohw.gov.tw/mp-2.html</t>
  </si>
  <si>
    <t>Elderly Instution Report</t>
  </si>
  <si>
    <t>https://stis.mohw.gov.tw/HWSDweb/common/CommonQuery.aspx?code=G&amp;id=69&amp;utm_source=chatgpt.com</t>
  </si>
  <si>
    <t>Year 1</t>
  </si>
  <si>
    <t>Year 2</t>
  </si>
  <si>
    <t>Year 3</t>
  </si>
  <si>
    <t>Year 4</t>
  </si>
  <si>
    <t>Year 5</t>
  </si>
  <si>
    <t>Year</t>
  </si>
  <si>
    <t>BD</t>
  </si>
  <si>
    <t>Close rate</t>
  </si>
  <si>
    <t>Y1</t>
  </si>
  <si>
    <t>Y2</t>
  </si>
  <si>
    <t>Y3</t>
  </si>
  <si>
    <t>Y4</t>
  </si>
  <si>
    <t>Y5</t>
  </si>
  <si>
    <t>Total</t>
  </si>
  <si>
    <t>Expected Lead/BD/Year</t>
  </si>
  <si>
    <t>New Sales</t>
  </si>
  <si>
    <t>Hardware Revenue</t>
  </si>
  <si>
    <t>Market Base</t>
  </si>
  <si>
    <t>Total Addressable Market</t>
  </si>
  <si>
    <t>Adoption rate</t>
  </si>
  <si>
    <t>Residents per facility</t>
  </si>
  <si>
    <t>Benchmark for prices</t>
  </si>
  <si>
    <t>https://www.ncoa.org/product-resources/medical-alert-systems/best-medical-alert-systems-with-fall-detection/?utm_source=chatgpt.com</t>
  </si>
  <si>
    <t>Nursing homes price/month</t>
  </si>
  <si>
    <t>https://store.directsupply.com/Product/replacement-wristband-transmitter-tl-4005-door-systems-11023710?quantity=1</t>
  </si>
  <si>
    <t>Nurse call band</t>
  </si>
  <si>
    <t>https://www.aftygh.gov.tw/english-dep/nursing-home/?utm_source=chatgpt.com
https://chnh.mohw.gov.tw/eng/content/index.aspx?Parser=1%2C14%2C95%2C79&amp;utm_source=chatgpt.com
https://www.tsmh.org.tw/sites/tsmhcare/fee.html?utm_source=chatgpt.com
https://www.paochien.com.tw/twuse/page?pageid=1100005&amp;typeid=1000&amp;utm_source=chatgpt.com
https://wwwv.tsgh.ndmutsgh.edu.tw/unit/10071/17981</t>
  </si>
  <si>
    <t>Installation Revenue</t>
  </si>
  <si>
    <t>Note</t>
  </si>
  <si>
    <t>(1) Total Addressable Market (TAM) is expected to increased by 2% each year.</t>
  </si>
  <si>
    <t>Total Revenue</t>
  </si>
  <si>
    <t>Annual Service Revenue</t>
  </si>
  <si>
    <t>Total facilities</t>
  </si>
  <si>
    <t>Churn rate</t>
  </si>
  <si>
    <t>New facilities</t>
  </si>
  <si>
    <t>WaveCare Monthly Service Revenue Cohort Assumption</t>
  </si>
  <si>
    <t>Month</t>
  </si>
  <si>
    <t>Jan</t>
  </si>
  <si>
    <t>Feb</t>
  </si>
  <si>
    <t>New Signed</t>
  </si>
  <si>
    <t>Active from Y-1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</si>
  <si>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</si>
  <si>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</si>
  <si>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</si>
  <si>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</si>
  <si>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</si>
  <si>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</si>
  <si>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</si>
  <si>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</si>
  <si>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</si>
  <si>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</si>
  <si>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service revenue</t>
  </si>
  <si>
    <t>Cumulative Total Active</t>
  </si>
  <si>
    <t>Total Year 1</t>
  </si>
  <si>
    <t>Total Year 2</t>
  </si>
  <si>
    <t>Total Year 3</t>
  </si>
  <si>
    <t>Total Year 4</t>
  </si>
  <si>
    <t>Total Year 5</t>
  </si>
  <si>
    <t>Churn Rate</t>
  </si>
  <si>
    <t>Active facilities</t>
  </si>
  <si>
    <t>Hardware COSG (per facility)</t>
  </si>
  <si>
    <t>(4) Assume that the cost of the Installation is affected by 3% inflation every year.</t>
  </si>
  <si>
    <t>Certification &amp; Compliance Cost</t>
  </si>
  <si>
    <t xml:space="preserve">(8) NCC, RoHS, IP67. </t>
  </si>
  <si>
    <t xml:space="preserve">(3) Wristband cost: US$ = 15; Gateway cost: US$ = 120. Assume that the cost of the Hardware COSG is affected by 3% inflation every year. </t>
  </si>
  <si>
    <t>(2) Wristband: US$ =37; Gateway: US$ =280$. Assumed that each facility needs 3 Gateways.</t>
  </si>
  <si>
    <t>WaveCare Personel Forecast</t>
  </si>
  <si>
    <t>Engineer</t>
  </si>
  <si>
    <t>Business Development</t>
  </si>
  <si>
    <t>Admin/ Support</t>
  </si>
  <si>
    <t>Customer Support Employee ($1000 per month)</t>
  </si>
  <si>
    <t>Quantity Assumptions</t>
  </si>
  <si>
    <t>Total Salaries</t>
  </si>
  <si>
    <t>Firmware Engineer ($3000 per month)</t>
  </si>
  <si>
    <t>Backend Engineer ($3000 per month)</t>
  </si>
  <si>
    <t>(9) Assumptions are in Personel Sheet.</t>
  </si>
  <si>
    <t>Salaries &amp; Commission</t>
  </si>
  <si>
    <t>(1) Commission is based on 5% revenue of the Hardware.</t>
  </si>
  <si>
    <t>Rent &amp; Utilities</t>
  </si>
  <si>
    <t>(10) Assume that Co-working space/ Renting lab is US$250 per person per month. Utilities is included.</t>
  </si>
  <si>
    <t>(11) Assume that each employee needs 01 laptop (One-time: US$1500 per laptop) and annually US$5000 for other tools &amp; equipments.</t>
  </si>
  <si>
    <t xml:space="preserve">Marketing &amp; Campaigns </t>
  </si>
  <si>
    <t>Cloud Infrastructure (per resident)</t>
  </si>
  <si>
    <t>(5) Assume that 5% of Hardware Revenue is contributed to Warranty.</t>
  </si>
  <si>
    <t>(6) Cloud Infrastructure: US$ = 0.5 per month per resident. Assume that the cost of the Cloud Infrastructure is affected by 3% inflation every year.</t>
  </si>
  <si>
    <t>(12) Marketing &amp; Campaigns expenses is spent on 2 main expos annually (Medical Taiwan - Jun &amp; Care Expo Taipei - Sep). Each expo is expected to have US$ 4000. The budget is raised 5% each year.</t>
  </si>
  <si>
    <t>Pro-Forma Income Statement</t>
  </si>
  <si>
    <t>Operating Expenses - OpEx</t>
  </si>
  <si>
    <t>EBITDA</t>
  </si>
  <si>
    <t>Installation Cost (per facility)</t>
  </si>
  <si>
    <t>Cost Structure</t>
  </si>
  <si>
    <t>Salaries - Engineer</t>
  </si>
  <si>
    <t>(2) Assume that Salary Increase Rate is 5% annually.</t>
  </si>
  <si>
    <t>Base Salary</t>
  </si>
  <si>
    <t xml:space="preserve">Firmware Engineer </t>
  </si>
  <si>
    <t xml:space="preserve">Backend Engineer </t>
  </si>
  <si>
    <t>Business Development Employee</t>
  </si>
  <si>
    <t xml:space="preserve">Customer Support Employee </t>
  </si>
  <si>
    <t>Business Development Employee ($1500 per month)</t>
  </si>
  <si>
    <t>Business Development Employee's Commission</t>
  </si>
  <si>
    <t>Product R&amp;D Cost</t>
  </si>
  <si>
    <t>(7) Coding cost is paid one-time to build Minimum Viable Product (MVP) at Y1. From Y2, 2% of Revenue is contributed to Product R&amp;D.</t>
  </si>
  <si>
    <t>Product Research and Development</t>
  </si>
  <si>
    <t>Sales Commission Expense</t>
  </si>
  <si>
    <t>Travel and Entertainment</t>
  </si>
  <si>
    <t>(13) Travel and Entertainment is US$5000/ year. The budget is raised 5% each year.</t>
  </si>
  <si>
    <t>Marketing &amp; Campaigns Expense</t>
  </si>
  <si>
    <t>R&amp;D Expenses</t>
  </si>
  <si>
    <t>Selling Expenses</t>
  </si>
  <si>
    <t>Marketing Expenses</t>
  </si>
  <si>
    <t>Administrative Expenses</t>
  </si>
  <si>
    <t>Salaries - Customer Support Employee</t>
  </si>
  <si>
    <t>Salaries - Business Development Employee</t>
  </si>
  <si>
    <t>Office supplies and Equipment</t>
  </si>
  <si>
    <t>Total Operating Expense</t>
  </si>
  <si>
    <t>Amortization</t>
  </si>
  <si>
    <t>EBT</t>
  </si>
  <si>
    <t>Tax (20%)</t>
  </si>
  <si>
    <t>Net Income (Loss)</t>
  </si>
  <si>
    <t xml:space="preserve"> </t>
  </si>
  <si>
    <t>(3) Assume that Commission is based on 10% of the Hardware Revenue.</t>
  </si>
  <si>
    <t>CF</t>
  </si>
  <si>
    <t>Discount Factor</t>
  </si>
  <si>
    <t>WACC</t>
  </si>
  <si>
    <t>Total NPV</t>
  </si>
  <si>
    <t>IRR</t>
  </si>
  <si>
    <t>NPV</t>
  </si>
  <si>
    <t>Warranty Expense (variable portion)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</si>
</sst>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_-* #,##0.0_-;\-* #,##0.0_-;_-* &quot;-&quot;??_-;_-@_-"/>
    <numFmt numFmtId="168" formatCode="[$$-409]#,##0.0"/>
    <numFmt numFmtId="169" formatCode="#,##0.0"/>
    <numFmt numFmtId="170" formatCode="#,##0.0_);\(#,##0.0\)"/>
    <numFmt numFmtId="171" formatCode="[$$-409]#,##0.0_);\([$$-409]#,##0.0\)"/>
    <numFmt numFmtId="172" formatCode="0.000%"/>
    <numFmt numFmtId="173" formatCode="[$$-409]#,##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2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5" fontId="4" fillId="0" borderId="0" xfId="0" applyNumberFormat="1" applyFont="1"/>
    <xf numFmtId="165" fontId="5" fillId="0" borderId="0" xfId="0" applyNumberFormat="1" applyFont="1"/>
    <xf numFmtId="0" fontId="5" fillId="0" borderId="0" xfId="0" applyFont="1"/>
    <xf numFmtId="0" fontId="6" fillId="4" borderId="0" xfId="0" applyFont="1" applyFill="1"/>
    <xf numFmtId="0" fontId="5" fillId="0" borderId="0" xfId="0" applyFont="1" applyAlignment="1">
      <alignment horizontal="left" indent="1"/>
    </xf>
    <xf numFmtId="0" fontId="6" fillId="0" borderId="0" xfId="0" applyFont="1"/>
    <xf numFmtId="167" fontId="7" fillId="0" borderId="0" xfId="1" applyNumberFormat="1" applyFont="1"/>
    <xf numFmtId="0" fontId="6" fillId="0" borderId="1" xfId="0" applyFont="1" applyBorder="1"/>
    <xf numFmtId="165" fontId="6" fillId="0" borderId="0" xfId="0" applyNumberFormat="1" applyFont="1"/>
    <xf numFmtId="9" fontId="7" fillId="0" borderId="0" xfId="0" applyNumberFormat="1" applyFont="1"/>
    <xf numFmtId="0" fontId="8" fillId="0" borderId="0" xfId="0" applyFont="1"/>
    <xf numFmtId="166" fontId="8" fillId="0" borderId="0" xfId="2" applyNumberFormat="1" applyFont="1"/>
    <xf numFmtId="0" fontId="2" fillId="3" borderId="0" xfId="0" applyFont="1" applyFill="1"/>
    <xf numFmtId="17" fontId="3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5" fillId="0" borderId="2" xfId="0" applyFont="1" applyBorder="1" applyAlignment="1">
      <alignment horizontal="left" indent="1"/>
    </xf>
    <xf numFmtId="0" fontId="5" fillId="0" borderId="2" xfId="0" applyFont="1" applyBorder="1" applyAlignment="1">
      <alignment horizontal="center"/>
    </xf>
    <xf numFmtId="0" fontId="12" fillId="0" borderId="0" xfId="4"/>
    <xf numFmtId="1" fontId="2" fillId="2" borderId="0" xfId="0" applyNumberFormat="1" applyFont="1" applyFill="1"/>
    <xf numFmtId="9" fontId="0" fillId="0" borderId="0" xfId="0" applyNumberFormat="1"/>
    <xf numFmtId="0" fontId="0" fillId="0" borderId="2" xfId="0" applyBorder="1"/>
    <xf numFmtId="9" fontId="4" fillId="0" borderId="0" xfId="0" applyNumberFormat="1" applyFont="1"/>
    <xf numFmtId="166" fontId="4" fillId="0" borderId="0" xfId="0" applyNumberFormat="1" applyFont="1"/>
    <xf numFmtId="0" fontId="0" fillId="0" borderId="0" xfId="0" applyAlignment="1">
      <alignment horizontal="left" vertical="top"/>
    </xf>
    <xf numFmtId="0" fontId="5" fillId="0" borderId="0" xfId="0" quotePrefix="1" applyFont="1"/>
    <xf numFmtId="168" fontId="7" fillId="0" borderId="0" xfId="0" applyNumberFormat="1" applyFont="1"/>
    <xf numFmtId="168" fontId="7" fillId="0" borderId="2" xfId="0" applyNumberFormat="1" applyFont="1" applyBorder="1"/>
    <xf numFmtId="168" fontId="6" fillId="0" borderId="0" xfId="0" applyNumberFormat="1" applyFont="1"/>
    <xf numFmtId="41" fontId="4" fillId="0" borderId="0" xfId="3" applyFont="1"/>
    <xf numFmtId="41" fontId="4" fillId="0" borderId="0" xfId="3" applyFont="1" applyAlignment="1">
      <alignment horizontal="left" indent="1"/>
    </xf>
    <xf numFmtId="0" fontId="6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166" fontId="8" fillId="0" borderId="0" xfId="2" applyNumberFormat="1" applyFont="1" applyFill="1" applyBorder="1"/>
    <xf numFmtId="0" fontId="2" fillId="7" borderId="0" xfId="0" applyFont="1" applyFill="1"/>
    <xf numFmtId="17" fontId="3" fillId="7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left"/>
    </xf>
    <xf numFmtId="0" fontId="5" fillId="9" borderId="0" xfId="0" applyFont="1" applyFill="1"/>
    <xf numFmtId="166" fontId="13" fillId="0" borderId="0" xfId="0" applyNumberFormat="1" applyFont="1"/>
    <xf numFmtId="41" fontId="13" fillId="0" borderId="0" xfId="3" applyFont="1"/>
    <xf numFmtId="168" fontId="13" fillId="0" borderId="0" xfId="0" applyNumberFormat="1" applyFont="1"/>
    <xf numFmtId="169" fontId="13" fillId="0" borderId="0" xfId="0" applyNumberFormat="1" applyFont="1"/>
    <xf numFmtId="0" fontId="6" fillId="0" borderId="3" xfId="0" applyFont="1" applyBorder="1" applyAlignment="1">
      <alignment horizontal="left" indent="1"/>
    </xf>
    <xf numFmtId="0" fontId="6" fillId="0" borderId="3" xfId="0" applyFont="1" applyBorder="1" applyAlignment="1">
      <alignment horizontal="left"/>
    </xf>
    <xf numFmtId="165" fontId="13" fillId="0" borderId="3" xfId="0" applyNumberFormat="1" applyFont="1" applyBorder="1"/>
    <xf numFmtId="0" fontId="6" fillId="0" borderId="0" xfId="0" applyFont="1" applyAlignment="1">
      <alignment horizontal="left"/>
    </xf>
    <xf numFmtId="165" fontId="13" fillId="0" borderId="0" xfId="0" applyNumberFormat="1" applyFont="1"/>
    <xf numFmtId="41" fontId="13" fillId="0" borderId="0" xfId="3" applyFont="1" applyFill="1" applyBorder="1"/>
    <xf numFmtId="168" fontId="6" fillId="0" borderId="3" xfId="0" applyNumberFormat="1" applyFont="1" applyBorder="1"/>
    <xf numFmtId="170" fontId="14" fillId="0" borderId="3" xfId="0" applyNumberFormat="1" applyFont="1" applyBorder="1"/>
    <xf numFmtId="170" fontId="13" fillId="0" borderId="0" xfId="3" applyNumberFormat="1" applyFont="1"/>
    <xf numFmtId="170" fontId="14" fillId="0" borderId="3" xfId="0" applyNumberFormat="1" applyFont="1" applyBorder="1" applyAlignment="1">
      <alignment horizontal="left" indent="17"/>
    </xf>
    <xf numFmtId="171" fontId="13" fillId="0" borderId="0" xfId="0" applyNumberFormat="1" applyFont="1"/>
    <xf numFmtId="171" fontId="6" fillId="0" borderId="3" xfId="0" applyNumberFormat="1" applyFont="1" applyBorder="1"/>
    <xf numFmtId="166" fontId="3" fillId="7" borderId="0" xfId="0" applyNumberFormat="1" applyFont="1" applyFill="1" applyAlignment="1">
      <alignment horizontal="right"/>
    </xf>
    <xf numFmtId="166" fontId="5" fillId="9" borderId="0" xfId="0" applyNumberFormat="1" applyFont="1" applyFill="1"/>
    <xf numFmtId="166" fontId="5" fillId="0" borderId="0" xfId="0" applyNumberFormat="1" applyFont="1"/>
    <xf numFmtId="166" fontId="14" fillId="0" borderId="3" xfId="0" applyNumberFormat="1" applyFont="1" applyBorder="1" applyAlignment="1">
      <alignment horizontal="left" indent="17"/>
    </xf>
    <xf numFmtId="166" fontId="14" fillId="0" borderId="3" xfId="0" applyNumberFormat="1" applyFont="1" applyBorder="1"/>
    <xf numFmtId="172" fontId="13" fillId="0" borderId="0" xfId="0" applyNumberFormat="1" applyFont="1"/>
    <xf numFmtId="0" fontId="2" fillId="10" borderId="0" xfId="0" applyFont="1" applyFill="1" applyAlignment="1">
      <alignment horizontal="center"/>
    </xf>
    <xf numFmtId="0" fontId="2" fillId="10" borderId="0" xfId="0" applyFont="1" applyFill="1"/>
    <xf numFmtId="1" fontId="2" fillId="10" borderId="0" xfId="0" applyNumberFormat="1" applyFont="1" applyFill="1"/>
    <xf numFmtId="0" fontId="2" fillId="11" borderId="0" xfId="0" applyFont="1" applyFill="1"/>
    <xf numFmtId="0" fontId="2" fillId="11" borderId="0" xfId="0" applyFont="1" applyFill="1" applyAlignment="1">
      <alignment horizontal="center"/>
    </xf>
    <xf numFmtId="17" fontId="3" fillId="11" borderId="0" xfId="0" applyNumberFormat="1" applyFont="1" applyFill="1" applyAlignment="1">
      <alignment horizontal="right"/>
    </xf>
    <xf numFmtId="0" fontId="6" fillId="12" borderId="0" xfId="0" applyFont="1" applyFill="1"/>
    <xf numFmtId="0" fontId="5" fillId="12" borderId="0" xfId="0" applyFont="1" applyFill="1" applyAlignment="1">
      <alignment horizontal="center"/>
    </xf>
    <xf numFmtId="0" fontId="5" fillId="12" borderId="0" xfId="0" applyFont="1" applyFill="1"/>
    <xf numFmtId="0" fontId="11" fillId="0" borderId="0" xfId="0" applyFont="1" applyAlignment="1">
      <alignment horizontal="left"/>
    </xf>
    <xf numFmtId="0" fontId="11" fillId="0" borderId="0" xfId="0" applyFont="1"/>
    <xf numFmtId="1" fontId="15" fillId="0" borderId="0" xfId="0" applyNumberFormat="1" applyFont="1"/>
    <xf numFmtId="0" fontId="15" fillId="0" borderId="0" xfId="0" applyFont="1"/>
    <xf numFmtId="1" fontId="15" fillId="0" borderId="0" xfId="3" applyNumberFormat="1" applyFont="1"/>
    <xf numFmtId="168" fontId="15" fillId="0" borderId="0" xfId="0" applyNumberFormat="1" applyFont="1"/>
    <xf numFmtId="0" fontId="6" fillId="0" borderId="3" xfId="0" applyFont="1" applyBorder="1" applyAlignment="1">
      <alignment horizontal="center"/>
    </xf>
    <xf numFmtId="1" fontId="16" fillId="0" borderId="3" xfId="3" applyNumberFormat="1" applyFont="1" applyBorder="1"/>
    <xf numFmtId="171" fontId="5" fillId="0" borderId="0" xfId="0" applyNumberFormat="1" applyFont="1"/>
    <xf numFmtId="171" fontId="6" fillId="0" borderId="1" xfId="0" applyNumberFormat="1" applyFont="1" applyBorder="1"/>
    <xf numFmtId="0" fontId="6" fillId="0" borderId="0" xfId="0" applyFont="1" applyAlignment="1">
      <alignment horizontal="left" indent="1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168" fontId="6" fillId="5" borderId="0" xfId="0" applyNumberFormat="1" applyFont="1" applyFill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center"/>
    </xf>
    <xf numFmtId="41" fontId="17" fillId="0" borderId="0" xfId="3" applyFont="1"/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168" fontId="15" fillId="0" borderId="3" xfId="0" applyNumberFormat="1" applyFont="1" applyBorder="1"/>
    <xf numFmtId="173" fontId="5" fillId="0" borderId="0" xfId="0" applyNumberFormat="1" applyFont="1" applyAlignment="1">
      <alignment horizontal="center"/>
    </xf>
    <xf numFmtId="173" fontId="5" fillId="0" borderId="3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168" fontId="5" fillId="0" borderId="0" xfId="0" applyNumberFormat="1" applyFont="1"/>
    <xf numFmtId="168" fontId="5" fillId="0" borderId="0" xfId="2" applyNumberFormat="1" applyFont="1" applyBorder="1"/>
    <xf numFmtId="171" fontId="6" fillId="0" borderId="0" xfId="0" applyNumberFormat="1" applyFont="1"/>
    <xf numFmtId="0" fontId="6" fillId="0" borderId="3" xfId="0" applyFont="1" applyBorder="1"/>
    <xf numFmtId="168" fontId="5" fillId="0" borderId="0" xfId="0" applyNumberFormat="1" applyFont="1" applyAlignment="1">
      <alignment horizontal="right"/>
    </xf>
    <xf numFmtId="168" fontId="19" fillId="0" borderId="0" xfId="3" applyNumberFormat="1" applyFont="1"/>
    <xf numFmtId="168" fontId="4" fillId="0" borderId="0" xfId="0" applyNumberFormat="1" applyFont="1" applyAlignment="1">
      <alignment horizontal="right"/>
    </xf>
    <xf numFmtId="168" fontId="4" fillId="0" borderId="0" xfId="3" applyNumberFormat="1" applyFont="1" applyAlignment="1"/>
    <xf numFmtId="0" fontId="11" fillId="6" borderId="4" xfId="0" applyFont="1" applyFill="1" applyBorder="1" applyAlignment="1">
      <alignment horizontal="center"/>
    </xf>
    <xf numFmtId="0" fontId="11" fillId="13" borderId="5" xfId="0" applyFont="1" applyFill="1" applyBorder="1" applyAlignment="1">
      <alignment horizontal="center"/>
    </xf>
    <xf numFmtId="168" fontId="0" fillId="0" borderId="0" xfId="0" applyNumberFormat="1"/>
    <xf numFmtId="0" fontId="11" fillId="5" borderId="6" xfId="0" applyFont="1" applyFill="1" applyBorder="1"/>
    <xf numFmtId="0" fontId="0" fillId="5" borderId="6" xfId="0" applyFill="1" applyBorder="1"/>
    <xf numFmtId="0" fontId="6" fillId="5" borderId="6" xfId="0" applyFont="1" applyFill="1" applyBorder="1"/>
    <xf numFmtId="0" fontId="6" fillId="5" borderId="6" xfId="0" applyFont="1" applyFill="1" applyBorder="1" applyAlignment="1">
      <alignment horizontal="center"/>
    </xf>
    <xf numFmtId="168" fontId="6" fillId="5" borderId="6" xfId="0" applyNumberFormat="1" applyFont="1" applyFill="1" applyBorder="1"/>
    <xf numFmtId="0" fontId="6" fillId="5" borderId="6" xfId="0" applyFont="1" applyFill="1" applyBorder="1" applyAlignment="1">
      <alignment horizontal="left"/>
    </xf>
    <xf numFmtId="0" fontId="5" fillId="5" borderId="6" xfId="0" applyFont="1" applyFill="1" applyBorder="1"/>
    <xf numFmtId="166" fontId="5" fillId="5" borderId="6" xfId="0" applyNumberFormat="1" applyFont="1" applyFill="1" applyBorder="1"/>
    <xf numFmtId="168" fontId="11" fillId="5" borderId="6" xfId="0" applyNumberFormat="1" applyFont="1" applyFill="1" applyBorder="1"/>
    <xf numFmtId="0" fontId="11" fillId="5" borderId="0" xfId="0" applyFont="1" applyFill="1"/>
    <xf numFmtId="9" fontId="11" fillId="5" borderId="0" xfId="0" applyNumberFormat="1" applyFont="1" applyFill="1"/>
    <xf numFmtId="0" fontId="2" fillId="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2" fillId="0" borderId="0" xfId="4" applyAlignment="1">
      <alignment horizontal="left" vertical="top" wrapText="1"/>
    </xf>
    <xf numFmtId="0" fontId="11" fillId="0" borderId="0" xfId="0" applyFont="1" applyFill="1"/>
    <xf numFmtId="0" fontId="0" fillId="0" borderId="0" xfId="0" applyFill="1"/>
  </cellXfs>
  <cellStyles count="5">
    <cellStyle name="Comma" xfId="1" builtinId="3"/>
    <cellStyle name="Comma [0]" xfId="3" builtinId="6"/>
    <cellStyle name="Hyperlink" xfId="4" builtinId="8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FFFF99"/>
      <color rgb="FF293D68"/>
      <color rgb="FF00003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NPV: $1.583.968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'5-NPV IRR'!$F$2</c:f>
              <c:strCache>
                <c:ptCount val="1"/>
                <c:pt idx="0">
                  <c:v>NPV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'5-NPV IRR'!$B$3:$B$9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Total NPV</c:v>
                </c:pt>
              </c:strCache>
            </c:strRef>
          </c:cat>
          <c:val>
            <c:numRef>
              <c:f>'5-NPV IRR'!$F$3:$F$9</c:f>
              <c:numCache>
                <c:formatCode>[$$-409]#,##0.0</c:formatCode>
                <c:ptCount val="7"/>
                <c:pt idx="0">
                  <c:v>-400000</c:v>
                </c:pt>
                <c:pt idx="1">
                  <c:v>-90779.166666666672</c:v>
                </c:pt>
                <c:pt idx="2">
                  <c:v>87573.301111111112</c:v>
                </c:pt>
                <c:pt idx="3">
                  <c:v>244277.68890425572</c:v>
                </c:pt>
                <c:pt idx="4">
                  <c:v>441953.53908271808</c:v>
                </c:pt>
                <c:pt idx="5">
                  <c:v>637781.51032560517</c:v>
                </c:pt>
                <c:pt idx="6">
                  <c:v>920806.87275702343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6A-ED40-BD10-7098F12E32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92473279"/>
        <c:axId val="1324006912"/>
      </c:lineChart>
      <c:catAx>
        <c:axId val="16924732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24006912"/>
        <c:crosses val="autoZero"/>
        <c:auto val="1"/>
        <c:lblAlgn val="ctr"/>
        <c:lblOffset val="100"/>
        <c:noMultiLvlLbl val="0"/>
      </c:catAx>
      <c:valAx>
        <c:axId val="1324006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409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9247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</xdr:row>
      <xdr:rowOff>203200</xdr:rowOff>
    </xdr:from>
    <xdr:to>
      <xdr:col>16</xdr:col>
      <xdr:colOff>127000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9DBBB-7205-E665-6ED1-6500C73A5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oa.org/product-resources/medical-alert-systems/best-medical-alert-systems-with-fall-detection/?utm_source=chatgpt.com" TargetMode="External"/><Relationship Id="rId2" Type="http://schemas.openxmlformats.org/officeDocument/2006/relationships/hyperlink" Target="https://store.directsupply.com/Product/replacement-wristband-transmitter-tl-4005-door-systems-11023710?quantity=1" TargetMode="External"/><Relationship Id="rId1" Type="http://schemas.openxmlformats.org/officeDocument/2006/relationships/hyperlink" Target="https://stis.mohw.gov.tw/HWSDweb/common/CommonQuery.aspx?code=G&amp;id=69&amp;utm_source=chatgpt.com" TargetMode="External"/><Relationship Id="rId5" Type="http://schemas.openxmlformats.org/officeDocument/2006/relationships/hyperlink" Target="https://nurse.mohw.gov.tw/mp-2.html" TargetMode="External"/><Relationship Id="rId4" Type="http://schemas.openxmlformats.org/officeDocument/2006/relationships/hyperlink" Target="https://www.aftygh.gov.tw/english-dep/nursing-home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dimension ref="B2:J66"/>
  <sheetViews>
    <sheetView showGridLines="0" zoomScale="118" zoomScaleNormal="100" workbookViewId="0">
      <pane ySplit="4" topLeftCell="A5" activePane="bottomLeft" state="frozenSplit"/>
      <selection pane="bottomLeft" activeCell="D31" sqref="D31"/>
    </sheetView>
  </sheetViews>
  <sheetFormatPr baseColWidth="10" defaultColWidth="10.83203125" defaultRowHeight="15" x14ac:dyDescent="0.2"/>
  <cols>
    <col min="1" max="1" width="5.5" style="5" customWidth="1"/>
    <col min="2" max="2" width="39.1640625" style="5" customWidth="1"/>
    <col min="3" max="3" width="4.5" style="19" customWidth="1"/>
    <col min="4" max="8" width="22.33203125" style="5" customWidth="1"/>
    <col min="9" max="12" width="10.83203125" style="5"/>
    <col min="13" max="13" width="10.83203125" style="5" customWidth="1"/>
    <col min="14" max="16384" width="10.83203125" style="5"/>
  </cols>
  <sheetData>
    <row r="2" spans="2:10" ht="16" customHeight="1" x14ac:dyDescent="0.2">
      <c r="B2" s="122" t="s">
        <v>14</v>
      </c>
      <c r="C2" s="122"/>
      <c r="D2" s="122"/>
      <c r="E2" s="122"/>
      <c r="F2" s="122"/>
      <c r="G2" s="122"/>
      <c r="H2" s="122"/>
    </row>
    <row r="3" spans="2:10" x14ac:dyDescent="0.2">
      <c r="B3" s="1"/>
      <c r="C3" s="2"/>
      <c r="D3" s="26">
        <v>2027</v>
      </c>
      <c r="E3" s="26">
        <v>2028</v>
      </c>
      <c r="F3" s="26">
        <v>2029</v>
      </c>
      <c r="G3" s="26">
        <v>2030</v>
      </c>
      <c r="H3" s="26">
        <v>2031</v>
      </c>
    </row>
    <row r="4" spans="2:10" x14ac:dyDescent="0.2">
      <c r="B4" s="15" t="s">
        <v>0</v>
      </c>
      <c r="C4" s="17" t="s">
        <v>11</v>
      </c>
      <c r="D4" s="16" t="s">
        <v>19</v>
      </c>
      <c r="E4" s="16" t="s">
        <v>20</v>
      </c>
      <c r="F4" s="16" t="s">
        <v>21</v>
      </c>
      <c r="G4" s="16" t="s">
        <v>22</v>
      </c>
      <c r="H4" s="16" t="s">
        <v>23</v>
      </c>
      <c r="J4" s="5" t="s">
        <v>47</v>
      </c>
    </row>
    <row r="5" spans="2:10" x14ac:dyDescent="0.2">
      <c r="B5" s="8" t="s">
        <v>36</v>
      </c>
    </row>
    <row r="6" spans="2:10" x14ac:dyDescent="0.2">
      <c r="B6" s="7" t="s">
        <v>37</v>
      </c>
      <c r="C6" s="19" t="s">
        <v>10</v>
      </c>
      <c r="D6" s="3">
        <v>1048</v>
      </c>
      <c r="E6" s="3">
        <f>D6*1.02</f>
        <v>1068.96</v>
      </c>
      <c r="F6" s="3">
        <f t="shared" ref="F6:H6" si="0">E6*1.02</f>
        <v>1090.3392000000001</v>
      </c>
      <c r="G6" s="3">
        <f t="shared" si="0"/>
        <v>1112.1459840000002</v>
      </c>
      <c r="H6" s="3">
        <f t="shared" si="0"/>
        <v>1134.3889036800003</v>
      </c>
      <c r="J6" s="32" t="s">
        <v>48</v>
      </c>
    </row>
    <row r="7" spans="2:10" x14ac:dyDescent="0.2">
      <c r="B7" s="7" t="s">
        <v>38</v>
      </c>
      <c r="C7" s="19" t="s">
        <v>12</v>
      </c>
      <c r="D7" s="30">
        <v>5.0000000000000001E-3</v>
      </c>
      <c r="E7" s="30">
        <v>1.4999999999999999E-2</v>
      </c>
      <c r="F7" s="30">
        <v>3.5000000000000003E-2</v>
      </c>
      <c r="G7" s="30">
        <v>6.5000000000000002E-2</v>
      </c>
      <c r="H7" s="30">
        <v>0.1</v>
      </c>
    </row>
    <row r="8" spans="2:10" x14ac:dyDescent="0.2">
      <c r="B8" s="7" t="s">
        <v>51</v>
      </c>
      <c r="C8" s="19" t="s">
        <v>10</v>
      </c>
      <c r="D8" s="3">
        <f>INT(D6*D7)</f>
        <v>5</v>
      </c>
      <c r="E8" s="3">
        <f t="shared" ref="E8:H8" si="1">INT(E6*E7)</f>
        <v>16</v>
      </c>
      <c r="F8" s="3">
        <f t="shared" si="1"/>
        <v>38</v>
      </c>
      <c r="G8" s="3">
        <f t="shared" si="1"/>
        <v>72</v>
      </c>
      <c r="H8" s="3">
        <f t="shared" si="1"/>
        <v>113</v>
      </c>
    </row>
    <row r="9" spans="2:10" x14ac:dyDescent="0.2">
      <c r="B9" s="7" t="s">
        <v>53</v>
      </c>
      <c r="C9" s="19" t="s">
        <v>10</v>
      </c>
      <c r="D9" s="3">
        <f>D8</f>
        <v>5</v>
      </c>
      <c r="E9" s="3">
        <f>E8-D8</f>
        <v>11</v>
      </c>
      <c r="F9" s="3">
        <f t="shared" ref="F9:H9" si="2">F8-E8</f>
        <v>22</v>
      </c>
      <c r="G9" s="3">
        <f t="shared" si="2"/>
        <v>34</v>
      </c>
      <c r="H9" s="3">
        <f t="shared" si="2"/>
        <v>41</v>
      </c>
    </row>
    <row r="10" spans="2:10" x14ac:dyDescent="0.2">
      <c r="B10" s="7" t="s">
        <v>52</v>
      </c>
      <c r="C10" s="19" t="s">
        <v>12</v>
      </c>
      <c r="D10" s="36">
        <v>0</v>
      </c>
      <c r="E10" s="37">
        <v>0</v>
      </c>
      <c r="F10" s="29">
        <v>0.05</v>
      </c>
      <c r="G10" s="29">
        <v>0.05</v>
      </c>
      <c r="H10" s="29">
        <v>0.05</v>
      </c>
    </row>
    <row r="11" spans="2:10" x14ac:dyDescent="0.2">
      <c r="B11" s="91" t="s">
        <v>78</v>
      </c>
      <c r="C11" s="92" t="s">
        <v>10</v>
      </c>
      <c r="D11" s="93">
        <f>INT(D8)</f>
        <v>5</v>
      </c>
      <c r="E11" s="93">
        <f>INT(E8)</f>
        <v>16</v>
      </c>
      <c r="F11" s="93">
        <f>INT(F9+E11*(1-F10))</f>
        <v>37</v>
      </c>
      <c r="G11" s="93">
        <f t="shared" ref="G11:H11" si="3">INT(G9+F11*(1-G10))</f>
        <v>69</v>
      </c>
      <c r="H11" s="93">
        <f t="shared" si="3"/>
        <v>106</v>
      </c>
    </row>
    <row r="12" spans="2:10" x14ac:dyDescent="0.2">
      <c r="B12" s="7" t="s">
        <v>39</v>
      </c>
      <c r="C12" s="19" t="s">
        <v>10</v>
      </c>
      <c r="D12" s="3">
        <v>48</v>
      </c>
      <c r="E12" s="3">
        <v>48</v>
      </c>
      <c r="F12" s="3">
        <v>48</v>
      </c>
      <c r="G12" s="3">
        <v>48</v>
      </c>
      <c r="H12" s="3">
        <v>48</v>
      </c>
    </row>
    <row r="13" spans="2:10" x14ac:dyDescent="0.2">
      <c r="B13" s="7"/>
      <c r="D13" s="3"/>
      <c r="E13" s="3"/>
      <c r="F13" s="3"/>
      <c r="G13" s="3"/>
      <c r="H13" s="3"/>
    </row>
    <row r="14" spans="2:10" x14ac:dyDescent="0.2">
      <c r="B14" s="38" t="s">
        <v>2</v>
      </c>
      <c r="C14" s="39"/>
      <c r="D14" s="40"/>
      <c r="E14" s="40"/>
      <c r="F14" s="40"/>
      <c r="G14" s="40"/>
      <c r="H14" s="40"/>
    </row>
    <row r="15" spans="2:10" x14ac:dyDescent="0.2">
      <c r="B15" s="7" t="s">
        <v>35</v>
      </c>
      <c r="C15" s="19" t="s">
        <v>13</v>
      </c>
      <c r="D15" s="33">
        <f>(37*D12+280*3)*D9</f>
        <v>13080</v>
      </c>
      <c r="E15" s="33">
        <f t="shared" ref="E15:H15" si="4">(37*E12+280*3)*E9</f>
        <v>28776</v>
      </c>
      <c r="F15" s="33">
        <f t="shared" si="4"/>
        <v>57552</v>
      </c>
      <c r="G15" s="33">
        <f t="shared" si="4"/>
        <v>88944</v>
      </c>
      <c r="H15" s="33">
        <f t="shared" si="4"/>
        <v>107256</v>
      </c>
      <c r="J15" s="32" t="s">
        <v>84</v>
      </c>
    </row>
    <row r="16" spans="2:10" x14ac:dyDescent="0.2">
      <c r="B16" s="7" t="s">
        <v>46</v>
      </c>
      <c r="C16" s="19" t="s">
        <v>13</v>
      </c>
      <c r="D16" s="33">
        <f>D15*15%</f>
        <v>1962</v>
      </c>
      <c r="E16" s="33">
        <f t="shared" ref="E16:H16" si="5">E15*15%</f>
        <v>4316.3999999999996</v>
      </c>
      <c r="F16" s="33">
        <f t="shared" si="5"/>
        <v>8632.7999999999993</v>
      </c>
      <c r="G16" s="33">
        <f t="shared" si="5"/>
        <v>13341.6</v>
      </c>
      <c r="H16" s="33">
        <f t="shared" si="5"/>
        <v>16088.4</v>
      </c>
    </row>
    <row r="17" spans="2:10" x14ac:dyDescent="0.2">
      <c r="B17" s="23" t="s">
        <v>50</v>
      </c>
      <c r="C17" s="24" t="s">
        <v>13</v>
      </c>
      <c r="D17" s="34">
        <f>'2-Monthly Service Revenue'!G18</f>
        <v>73125</v>
      </c>
      <c r="E17" s="34">
        <f>'2-Monthly Service Revenue'!G34</f>
        <v>295875</v>
      </c>
      <c r="F17" s="34">
        <f>'2-Monthly Service Revenue'!G50</f>
        <v>741816.05819713487</v>
      </c>
      <c r="G17" s="34">
        <f>'2-Monthly Service Revenue'!G66</f>
        <v>1473820.6526983725</v>
      </c>
      <c r="H17" s="34">
        <f>'2-Monthly Service Revenue'!G82</f>
        <v>2420309.7942928392</v>
      </c>
    </row>
    <row r="18" spans="2:10" x14ac:dyDescent="0.2">
      <c r="B18" s="88" t="s">
        <v>49</v>
      </c>
      <c r="C18" s="89" t="s">
        <v>13</v>
      </c>
      <c r="D18" s="90">
        <f>SUM(D15:D17)</f>
        <v>88167</v>
      </c>
      <c r="E18" s="90">
        <f t="shared" ref="E18:H18" si="6">SUM(E15:E17)</f>
        <v>328967.40000000002</v>
      </c>
      <c r="F18" s="90">
        <f t="shared" si="6"/>
        <v>808000.85819713492</v>
      </c>
      <c r="G18" s="90">
        <f t="shared" si="6"/>
        <v>1576106.2526983726</v>
      </c>
      <c r="H18" s="90">
        <f t="shared" si="6"/>
        <v>2543654.1942928392</v>
      </c>
    </row>
    <row r="19" spans="2:10" x14ac:dyDescent="0.2">
      <c r="B19" s="8"/>
      <c r="C19" s="20"/>
      <c r="D19" s="35"/>
      <c r="E19" s="35"/>
      <c r="F19" s="35"/>
      <c r="G19" s="35"/>
      <c r="H19" s="35"/>
    </row>
    <row r="20" spans="2:10" x14ac:dyDescent="0.2">
      <c r="B20" s="6" t="s">
        <v>109</v>
      </c>
      <c r="C20" s="18"/>
      <c r="D20" s="6"/>
      <c r="E20" s="6"/>
      <c r="F20" s="6"/>
      <c r="G20" s="6"/>
      <c r="H20" s="6"/>
    </row>
    <row r="21" spans="2:10" x14ac:dyDescent="0.2">
      <c r="B21" s="8" t="s">
        <v>3</v>
      </c>
      <c r="C21" s="20"/>
      <c r="D21" s="8"/>
      <c r="E21" s="8"/>
      <c r="F21" s="8"/>
      <c r="G21" s="8"/>
      <c r="H21" s="8"/>
    </row>
    <row r="22" spans="2:10" x14ac:dyDescent="0.2">
      <c r="B22" s="7" t="s">
        <v>79</v>
      </c>
      <c r="C22" s="19" t="s">
        <v>13</v>
      </c>
      <c r="D22" s="9">
        <f>15*D12+120*3</f>
        <v>1080</v>
      </c>
      <c r="E22" s="9">
        <f>D22*103%</f>
        <v>1112.4000000000001</v>
      </c>
      <c r="F22" s="9">
        <f t="shared" ref="F22:H22" si="7">E22*103%</f>
        <v>1145.7720000000002</v>
      </c>
      <c r="G22" s="9">
        <f t="shared" si="7"/>
        <v>1180.1451600000003</v>
      </c>
      <c r="H22" s="9">
        <f t="shared" si="7"/>
        <v>1215.5495148000002</v>
      </c>
      <c r="J22" s="5" t="s">
        <v>83</v>
      </c>
    </row>
    <row r="23" spans="2:10" x14ac:dyDescent="0.2">
      <c r="B23" s="7" t="s">
        <v>108</v>
      </c>
      <c r="C23" s="19" t="s">
        <v>13</v>
      </c>
      <c r="D23" s="9">
        <v>300</v>
      </c>
      <c r="E23" s="9">
        <f>D23*103%</f>
        <v>309</v>
      </c>
      <c r="F23" s="9">
        <f t="shared" ref="F23:H23" si="8">E23*103%</f>
        <v>318.27</v>
      </c>
      <c r="G23" s="9">
        <f t="shared" si="8"/>
        <v>327.81810000000002</v>
      </c>
      <c r="H23" s="9">
        <f t="shared" si="8"/>
        <v>337.65264300000001</v>
      </c>
      <c r="J23" s="5" t="s">
        <v>80</v>
      </c>
    </row>
    <row r="24" spans="2:10" x14ac:dyDescent="0.2">
      <c r="B24" s="7" t="s">
        <v>146</v>
      </c>
      <c r="C24" s="19" t="s">
        <v>13</v>
      </c>
      <c r="D24" s="9">
        <f>D15*5%</f>
        <v>654</v>
      </c>
      <c r="E24" s="9">
        <f>D24*103%</f>
        <v>673.62</v>
      </c>
      <c r="F24" s="9">
        <f t="shared" ref="F24:H25" si="9">E24*103%</f>
        <v>693.82860000000005</v>
      </c>
      <c r="G24" s="9">
        <f t="shared" si="9"/>
        <v>714.64345800000012</v>
      </c>
      <c r="H24" s="9">
        <f t="shared" si="9"/>
        <v>736.08276174000014</v>
      </c>
      <c r="J24" s="5" t="s">
        <v>102</v>
      </c>
    </row>
    <row r="25" spans="2:10" x14ac:dyDescent="0.2">
      <c r="B25" s="7" t="s">
        <v>101</v>
      </c>
      <c r="C25" s="19" t="s">
        <v>13</v>
      </c>
      <c r="D25" s="9">
        <f>0.5*12</f>
        <v>6</v>
      </c>
      <c r="E25" s="9">
        <f>D25*103%</f>
        <v>6.18</v>
      </c>
      <c r="F25" s="9">
        <f t="shared" si="9"/>
        <v>6.3654000000000002</v>
      </c>
      <c r="G25" s="9">
        <f t="shared" si="9"/>
        <v>6.556362</v>
      </c>
      <c r="H25" s="9">
        <f t="shared" si="9"/>
        <v>6.7530528600000004</v>
      </c>
      <c r="J25" s="5" t="s">
        <v>103</v>
      </c>
    </row>
    <row r="26" spans="2:10" x14ac:dyDescent="0.2">
      <c r="B26" s="8" t="s">
        <v>4</v>
      </c>
      <c r="C26" s="20"/>
    </row>
    <row r="27" spans="2:10" x14ac:dyDescent="0.2">
      <c r="B27" s="7" t="s">
        <v>119</v>
      </c>
      <c r="C27" s="19" t="s">
        <v>13</v>
      </c>
      <c r="D27" s="106">
        <v>25000</v>
      </c>
      <c r="E27" s="107">
        <f>2%*E18</f>
        <v>6579.3480000000009</v>
      </c>
      <c r="F27" s="107">
        <f t="shared" ref="F27:H27" si="10">2%*F18</f>
        <v>16160.017163942699</v>
      </c>
      <c r="G27" s="107">
        <f t="shared" si="10"/>
        <v>31522.125053967451</v>
      </c>
      <c r="H27" s="107">
        <f t="shared" si="10"/>
        <v>50873.083885856788</v>
      </c>
      <c r="J27" s="5" t="s">
        <v>120</v>
      </c>
    </row>
    <row r="28" spans="2:10" x14ac:dyDescent="0.2">
      <c r="B28" s="7" t="s">
        <v>81</v>
      </c>
      <c r="C28" s="19" t="s">
        <v>13</v>
      </c>
      <c r="D28" s="106">
        <v>6500</v>
      </c>
      <c r="E28" s="106">
        <v>1500</v>
      </c>
      <c r="F28" s="106">
        <v>1500</v>
      </c>
      <c r="G28" s="106">
        <v>1500</v>
      </c>
      <c r="H28" s="106">
        <v>1500</v>
      </c>
      <c r="J28" s="5" t="s">
        <v>82</v>
      </c>
    </row>
    <row r="29" spans="2:10" x14ac:dyDescent="0.2">
      <c r="B29" s="7" t="s">
        <v>95</v>
      </c>
      <c r="C29" s="19" t="s">
        <v>13</v>
      </c>
      <c r="D29" s="106">
        <f>'3-Human Resource'!E24</f>
        <v>121308</v>
      </c>
      <c r="E29" s="106">
        <f>'3-Human Resource'!F24</f>
        <v>128877.6</v>
      </c>
      <c r="F29" s="106">
        <f>'3-Human Resource'!G24</f>
        <v>157900.20000000001</v>
      </c>
      <c r="G29" s="106">
        <f>'3-Human Resource'!H24</f>
        <v>224212.65</v>
      </c>
      <c r="H29" s="106">
        <f>'3-Human Resource'!I24</f>
        <v>258688.875</v>
      </c>
      <c r="J29" s="5" t="s">
        <v>94</v>
      </c>
    </row>
    <row r="30" spans="2:10" x14ac:dyDescent="0.2">
      <c r="B30" s="7" t="s">
        <v>97</v>
      </c>
      <c r="C30" s="19" t="s">
        <v>13</v>
      </c>
      <c r="D30" s="106">
        <f>250*'3-Human Resource'!E13*12</f>
        <v>15000</v>
      </c>
      <c r="E30" s="106">
        <f>250*'3-Human Resource'!F13*12</f>
        <v>15000</v>
      </c>
      <c r="F30" s="106">
        <f>250*'3-Human Resource'!G13*12</f>
        <v>18000</v>
      </c>
      <c r="G30" s="106">
        <f>250*'3-Human Resource'!H13*12</f>
        <v>24000</v>
      </c>
      <c r="H30" s="106">
        <f>250*'3-Human Resource'!I13*12</f>
        <v>27000</v>
      </c>
      <c r="J30" s="5" t="s">
        <v>98</v>
      </c>
    </row>
    <row r="31" spans="2:10" x14ac:dyDescent="0.2">
      <c r="B31" s="7" t="s">
        <v>132</v>
      </c>
      <c r="C31" s="19" t="s">
        <v>13</v>
      </c>
      <c r="D31" s="106">
        <f>1500*'3-Human Resource'!E13+5000</f>
        <v>12500</v>
      </c>
      <c r="E31" s="106">
        <f>1500*('3-Human Resource'!F13-'3-Human Resource'!E13)+5000</f>
        <v>5000</v>
      </c>
      <c r="F31" s="106">
        <f>1500*('3-Human Resource'!G13-'3-Human Resource'!F13)+5000</f>
        <v>6500</v>
      </c>
      <c r="G31" s="106">
        <f>1500*('3-Human Resource'!H13-'3-Human Resource'!G13)+5000</f>
        <v>8000</v>
      </c>
      <c r="H31" s="106">
        <f>1500*('3-Human Resource'!I13-'3-Human Resource'!H13)+5000</f>
        <v>6500</v>
      </c>
      <c r="J31" s="5" t="s">
        <v>99</v>
      </c>
    </row>
    <row r="32" spans="2:10" x14ac:dyDescent="0.2">
      <c r="B32" s="7" t="s">
        <v>100</v>
      </c>
      <c r="C32" s="19" t="s">
        <v>13</v>
      </c>
      <c r="D32" s="106">
        <v>8000</v>
      </c>
      <c r="E32" s="106">
        <f>D32*105%</f>
        <v>8400</v>
      </c>
      <c r="F32" s="106">
        <f t="shared" ref="F32:H33" si="11">E32*105%</f>
        <v>8820</v>
      </c>
      <c r="G32" s="106">
        <f t="shared" si="11"/>
        <v>9261</v>
      </c>
      <c r="H32" s="106">
        <f t="shared" si="11"/>
        <v>9724.0500000000011</v>
      </c>
      <c r="J32" s="5" t="s">
        <v>104</v>
      </c>
    </row>
    <row r="33" spans="2:10" x14ac:dyDescent="0.2">
      <c r="B33" s="7" t="s">
        <v>123</v>
      </c>
      <c r="C33" s="19" t="s">
        <v>13</v>
      </c>
      <c r="D33" s="106">
        <v>5000</v>
      </c>
      <c r="E33" s="106">
        <f>D33*105%</f>
        <v>5250</v>
      </c>
      <c r="F33" s="106">
        <f t="shared" si="11"/>
        <v>5512.5</v>
      </c>
      <c r="G33" s="106">
        <f t="shared" si="11"/>
        <v>5788.125</v>
      </c>
      <c r="H33" s="106">
        <f t="shared" si="11"/>
        <v>6077.53125</v>
      </c>
      <c r="J33" s="5" t="s">
        <v>124</v>
      </c>
    </row>
    <row r="34" spans="2:10" x14ac:dyDescent="0.2">
      <c r="B34" s="8"/>
      <c r="C34" s="20"/>
      <c r="D34" s="11"/>
      <c r="E34" s="11"/>
      <c r="F34" s="11"/>
      <c r="G34" s="11"/>
      <c r="H34" s="11"/>
    </row>
    <row r="35" spans="2:10" x14ac:dyDescent="0.2">
      <c r="B35" s="5" t="s">
        <v>9</v>
      </c>
      <c r="C35" s="19" t="s">
        <v>12</v>
      </c>
      <c r="D35" s="12">
        <v>0.2</v>
      </c>
      <c r="E35" s="12">
        <v>0.2</v>
      </c>
      <c r="F35" s="12">
        <v>0.2</v>
      </c>
      <c r="G35" s="12">
        <v>0.2</v>
      </c>
      <c r="H35" s="12">
        <v>0.2</v>
      </c>
    </row>
    <row r="37" spans="2:10" x14ac:dyDescent="0.2">
      <c r="B37" s="1" t="s">
        <v>105</v>
      </c>
      <c r="C37" s="2"/>
      <c r="D37" s="1"/>
      <c r="E37" s="1"/>
      <c r="F37" s="1"/>
      <c r="G37" s="1"/>
      <c r="H37" s="1"/>
    </row>
    <row r="38" spans="2:10" x14ac:dyDescent="0.2">
      <c r="B38" s="8" t="s">
        <v>6</v>
      </c>
      <c r="C38" s="20" t="s">
        <v>13</v>
      </c>
      <c r="D38" s="102">
        <f>D18</f>
        <v>88167</v>
      </c>
      <c r="E38" s="102">
        <f t="shared" ref="E38:H38" si="12">E18</f>
        <v>328967.40000000002</v>
      </c>
      <c r="F38" s="102">
        <f t="shared" si="12"/>
        <v>808000.85819713492</v>
      </c>
      <c r="G38" s="102">
        <f t="shared" si="12"/>
        <v>1576106.2526983726</v>
      </c>
      <c r="H38" s="102">
        <f t="shared" si="12"/>
        <v>2543654.1942928392</v>
      </c>
    </row>
    <row r="39" spans="2:10" x14ac:dyDescent="0.2">
      <c r="B39" s="5" t="s">
        <v>1</v>
      </c>
      <c r="C39" s="19" t="s">
        <v>13</v>
      </c>
      <c r="D39" s="85">
        <f>(D22*D11)+(D23*D11)+(D24)+(D25*D12*D11)</f>
        <v>8994</v>
      </c>
      <c r="E39" s="85">
        <f t="shared" ref="E39:H39" si="13">E22*E11+E23*E11+E24+E25*E12*E11</f>
        <v>28162.260000000002</v>
      </c>
      <c r="F39" s="85">
        <f t="shared" si="13"/>
        <v>66168.332999999999</v>
      </c>
      <c r="G39" s="85">
        <f t="shared" si="13"/>
        <v>126478.77934200002</v>
      </c>
      <c r="H39" s="85">
        <f t="shared" si="13"/>
        <v>199735.04444022002</v>
      </c>
    </row>
    <row r="40" spans="2:10" x14ac:dyDescent="0.2">
      <c r="B40" s="10" t="s">
        <v>7</v>
      </c>
      <c r="C40" s="21" t="s">
        <v>13</v>
      </c>
      <c r="D40" s="86">
        <f>D38-D39</f>
        <v>79173</v>
      </c>
      <c r="E40" s="86">
        <f t="shared" ref="E40:H40" si="14">E38-E39</f>
        <v>300805.14</v>
      </c>
      <c r="F40" s="86">
        <f t="shared" si="14"/>
        <v>741832.52519713494</v>
      </c>
      <c r="G40" s="86">
        <f t="shared" si="14"/>
        <v>1449627.4733563727</v>
      </c>
      <c r="H40" s="86">
        <f t="shared" si="14"/>
        <v>2343919.149852619</v>
      </c>
    </row>
    <row r="41" spans="2:10" x14ac:dyDescent="0.2">
      <c r="B41" s="13" t="s">
        <v>8</v>
      </c>
      <c r="C41" s="19" t="s">
        <v>12</v>
      </c>
      <c r="D41" s="14">
        <f>D40/D38</f>
        <v>0.89798904351968423</v>
      </c>
      <c r="E41" s="14">
        <f t="shared" ref="E41:H41" si="15">E40/E38</f>
        <v>0.91439194278825198</v>
      </c>
      <c r="F41" s="14">
        <f t="shared" si="15"/>
        <v>0.91810858574130827</v>
      </c>
      <c r="G41" s="14">
        <f t="shared" si="15"/>
        <v>0.91975237765508389</v>
      </c>
      <c r="H41" s="14">
        <f t="shared" si="15"/>
        <v>0.92147712338872056</v>
      </c>
    </row>
    <row r="43" spans="2:10" x14ac:dyDescent="0.2">
      <c r="B43" s="8" t="s">
        <v>106</v>
      </c>
      <c r="C43" s="20"/>
    </row>
    <row r="44" spans="2:10" x14ac:dyDescent="0.2">
      <c r="B44" s="87" t="s">
        <v>126</v>
      </c>
      <c r="C44" s="99" t="s">
        <v>13</v>
      </c>
      <c r="D44" s="4"/>
      <c r="E44" s="4"/>
      <c r="F44" s="4"/>
      <c r="G44" s="4"/>
      <c r="H44" s="4"/>
    </row>
    <row r="45" spans="2:10" x14ac:dyDescent="0.2">
      <c r="B45" s="7" t="s">
        <v>110</v>
      </c>
      <c r="C45" s="22" t="s">
        <v>13</v>
      </c>
      <c r="D45" s="100">
        <f>'3-Human Resource'!E16+'3-Human Resource'!E17</f>
        <v>72000</v>
      </c>
      <c r="E45" s="100">
        <f>'3-Human Resource'!F16+'3-Human Resource'!F17</f>
        <v>75600</v>
      </c>
      <c r="F45" s="100">
        <f>'3-Human Resource'!G16+'3-Human Resource'!G17</f>
        <v>79380</v>
      </c>
      <c r="G45" s="100">
        <f>'3-Human Resource'!H16+'3-Human Resource'!H17</f>
        <v>125023.5</v>
      </c>
      <c r="H45" s="100">
        <f>'3-Human Resource'!I16+'3-Human Resource'!I17</f>
        <v>131274.67499999999</v>
      </c>
    </row>
    <row r="46" spans="2:10" x14ac:dyDescent="0.2">
      <c r="B46" s="7" t="s">
        <v>121</v>
      </c>
      <c r="C46" s="19" t="s">
        <v>13</v>
      </c>
      <c r="D46" s="100">
        <f>D27</f>
        <v>25000</v>
      </c>
      <c r="E46" s="100">
        <f t="shared" ref="E46:H46" si="16">E27</f>
        <v>6579.3480000000009</v>
      </c>
      <c r="F46" s="100">
        <f t="shared" si="16"/>
        <v>16160.017163942699</v>
      </c>
      <c r="G46" s="100">
        <f t="shared" si="16"/>
        <v>31522.125053967451</v>
      </c>
      <c r="H46" s="100">
        <f t="shared" si="16"/>
        <v>50873.083885856788</v>
      </c>
    </row>
    <row r="47" spans="2:10" x14ac:dyDescent="0.2">
      <c r="B47" s="87" t="s">
        <v>127</v>
      </c>
      <c r="C47" s="20" t="s">
        <v>13</v>
      </c>
      <c r="D47" s="35"/>
      <c r="E47" s="35"/>
      <c r="F47" s="35"/>
      <c r="G47" s="35"/>
      <c r="H47" s="35"/>
    </row>
    <row r="48" spans="2:10" x14ac:dyDescent="0.2">
      <c r="B48" s="7" t="s">
        <v>131</v>
      </c>
      <c r="C48" s="19" t="s">
        <v>13</v>
      </c>
      <c r="D48" s="101">
        <f>'3-Human Resource'!E19</f>
        <v>36000</v>
      </c>
      <c r="E48" s="101">
        <f>'3-Human Resource'!F19</f>
        <v>37800</v>
      </c>
      <c r="F48" s="101">
        <f>'3-Human Resource'!G19</f>
        <v>59535</v>
      </c>
      <c r="G48" s="101">
        <f>'3-Human Resource'!H19</f>
        <v>62511.75</v>
      </c>
      <c r="H48" s="101">
        <f>'3-Human Resource'!I19</f>
        <v>87516.450000000012</v>
      </c>
    </row>
    <row r="49" spans="2:8" x14ac:dyDescent="0.2">
      <c r="B49" s="7" t="s">
        <v>122</v>
      </c>
      <c r="C49" s="19" t="s">
        <v>13</v>
      </c>
      <c r="D49" s="100">
        <f>'3-Human Resource'!E20</f>
        <v>1308</v>
      </c>
      <c r="E49" s="100">
        <f>'3-Human Resource'!F20</f>
        <v>2877.6000000000004</v>
      </c>
      <c r="F49" s="100">
        <f>'3-Human Resource'!G20</f>
        <v>5755.2000000000007</v>
      </c>
      <c r="G49" s="100">
        <f>'3-Human Resource'!H20</f>
        <v>8894.4</v>
      </c>
      <c r="H49" s="100">
        <f>'3-Human Resource'!I20</f>
        <v>10725.6</v>
      </c>
    </row>
    <row r="50" spans="2:8" x14ac:dyDescent="0.2">
      <c r="B50" s="7" t="s">
        <v>123</v>
      </c>
      <c r="C50" s="19" t="s">
        <v>13</v>
      </c>
      <c r="D50" s="100">
        <f>D33</f>
        <v>5000</v>
      </c>
      <c r="E50" s="100">
        <f t="shared" ref="E50:H50" si="17">E33</f>
        <v>5250</v>
      </c>
      <c r="F50" s="100">
        <f t="shared" si="17"/>
        <v>5512.5</v>
      </c>
      <c r="G50" s="100">
        <f t="shared" si="17"/>
        <v>5788.125</v>
      </c>
      <c r="H50" s="100">
        <f t="shared" si="17"/>
        <v>6077.53125</v>
      </c>
    </row>
    <row r="51" spans="2:8" x14ac:dyDescent="0.2">
      <c r="B51" s="87" t="s">
        <v>128</v>
      </c>
      <c r="C51" s="20" t="s">
        <v>13</v>
      </c>
      <c r="D51" s="100"/>
      <c r="E51" s="100"/>
      <c r="F51" s="100"/>
      <c r="G51" s="100"/>
      <c r="H51" s="100"/>
    </row>
    <row r="52" spans="2:8" x14ac:dyDescent="0.2">
      <c r="B52" s="7" t="s">
        <v>125</v>
      </c>
      <c r="C52" s="19" t="s">
        <v>13</v>
      </c>
      <c r="D52" s="100">
        <f>D32</f>
        <v>8000</v>
      </c>
      <c r="E52" s="100">
        <f t="shared" ref="E52:H52" si="18">E32</f>
        <v>8400</v>
      </c>
      <c r="F52" s="100">
        <f t="shared" si="18"/>
        <v>8820</v>
      </c>
      <c r="G52" s="100">
        <f t="shared" si="18"/>
        <v>9261</v>
      </c>
      <c r="H52" s="100">
        <f t="shared" si="18"/>
        <v>9724.0500000000011</v>
      </c>
    </row>
    <row r="53" spans="2:8" x14ac:dyDescent="0.2">
      <c r="B53" s="87" t="s">
        <v>129</v>
      </c>
      <c r="C53" s="20" t="s">
        <v>13</v>
      </c>
      <c r="D53" s="100"/>
      <c r="E53" s="100"/>
      <c r="F53" s="100"/>
      <c r="G53" s="100"/>
      <c r="H53" s="100"/>
    </row>
    <row r="54" spans="2:8" x14ac:dyDescent="0.2">
      <c r="B54" s="7" t="s">
        <v>130</v>
      </c>
      <c r="C54" s="19" t="s">
        <v>13</v>
      </c>
      <c r="D54" s="100">
        <f>'3-Human Resource'!E23</f>
        <v>12000</v>
      </c>
      <c r="E54" s="100">
        <f>'3-Human Resource'!F23</f>
        <v>12600</v>
      </c>
      <c r="F54" s="100">
        <f>'3-Human Resource'!G23</f>
        <v>13230</v>
      </c>
      <c r="G54" s="100">
        <f>'3-Human Resource'!H23</f>
        <v>27783</v>
      </c>
      <c r="H54" s="100">
        <f>'3-Human Resource'!I23</f>
        <v>29172.15</v>
      </c>
    </row>
    <row r="55" spans="2:8" x14ac:dyDescent="0.2">
      <c r="B55" s="7" t="s">
        <v>97</v>
      </c>
      <c r="C55" s="19" t="s">
        <v>13</v>
      </c>
      <c r="D55" s="100">
        <f>D30</f>
        <v>15000</v>
      </c>
      <c r="E55" s="100">
        <f t="shared" ref="E55:H55" si="19">E30</f>
        <v>15000</v>
      </c>
      <c r="F55" s="100">
        <f t="shared" si="19"/>
        <v>18000</v>
      </c>
      <c r="G55" s="100">
        <f t="shared" si="19"/>
        <v>24000</v>
      </c>
      <c r="H55" s="100">
        <f t="shared" si="19"/>
        <v>27000</v>
      </c>
    </row>
    <row r="56" spans="2:8" x14ac:dyDescent="0.2">
      <c r="B56" s="7" t="s">
        <v>132</v>
      </c>
      <c r="C56" s="19" t="s">
        <v>13</v>
      </c>
      <c r="D56" s="100">
        <f>D31</f>
        <v>12500</v>
      </c>
      <c r="E56" s="100">
        <f t="shared" ref="E56:H56" si="20">E31</f>
        <v>5000</v>
      </c>
      <c r="F56" s="100">
        <f t="shared" si="20"/>
        <v>6500</v>
      </c>
      <c r="G56" s="100">
        <f t="shared" si="20"/>
        <v>8000</v>
      </c>
      <c r="H56" s="100">
        <f t="shared" si="20"/>
        <v>6500</v>
      </c>
    </row>
    <row r="57" spans="2:8" x14ac:dyDescent="0.2">
      <c r="B57" s="51" t="s">
        <v>133</v>
      </c>
      <c r="C57" s="83" t="s">
        <v>13</v>
      </c>
      <c r="D57" s="56">
        <f>SUM(D43:D56)</f>
        <v>186808</v>
      </c>
      <c r="E57" s="56">
        <f>SUM(E43:E56)</f>
        <v>169106.948</v>
      </c>
      <c r="F57" s="56">
        <f>SUM(F43:F56)</f>
        <v>212892.7171639427</v>
      </c>
      <c r="G57" s="56">
        <f>SUM(G43:G56)</f>
        <v>302783.90005396749</v>
      </c>
      <c r="H57" s="56">
        <f>SUM(H43:H56)</f>
        <v>358863.54013585678</v>
      </c>
    </row>
    <row r="58" spans="2:8" x14ac:dyDescent="0.2">
      <c r="B58" s="103" t="s">
        <v>107</v>
      </c>
      <c r="C58" s="83" t="s">
        <v>13</v>
      </c>
      <c r="D58" s="56">
        <f>D40-D57</f>
        <v>-107635</v>
      </c>
      <c r="E58" s="56">
        <f>E40-E57</f>
        <v>131698.19200000001</v>
      </c>
      <c r="F58" s="56">
        <f>F40-F57</f>
        <v>528939.8080331923</v>
      </c>
      <c r="G58" s="56">
        <f>G40-G57</f>
        <v>1146843.5733024052</v>
      </c>
      <c r="H58" s="56">
        <f>H40-H57</f>
        <v>1985055.6097167623</v>
      </c>
    </row>
    <row r="59" spans="2:8" x14ac:dyDescent="0.2">
      <c r="B59" s="7" t="s">
        <v>134</v>
      </c>
      <c r="D59" s="100">
        <f>$D$28/5</f>
        <v>1300</v>
      </c>
      <c r="E59" s="100">
        <f t="shared" ref="E59:H59" si="21">$D$28/5</f>
        <v>1300</v>
      </c>
      <c r="F59" s="100">
        <f t="shared" si="21"/>
        <v>1300</v>
      </c>
      <c r="G59" s="100">
        <f t="shared" si="21"/>
        <v>1300</v>
      </c>
      <c r="H59" s="100">
        <f t="shared" si="21"/>
        <v>1300</v>
      </c>
    </row>
    <row r="60" spans="2:8" x14ac:dyDescent="0.2">
      <c r="B60" s="103" t="s">
        <v>135</v>
      </c>
      <c r="C60" s="83" t="s">
        <v>13</v>
      </c>
      <c r="D60" s="56">
        <f>D58-D59</f>
        <v>-108935</v>
      </c>
      <c r="E60" s="56">
        <f t="shared" ref="E60:H60" si="22">E58-E59</f>
        <v>130398.19200000001</v>
      </c>
      <c r="F60" s="56">
        <f t="shared" si="22"/>
        <v>527639.8080331923</v>
      </c>
      <c r="G60" s="56">
        <f t="shared" si="22"/>
        <v>1145543.5733024052</v>
      </c>
      <c r="H60" s="56">
        <f t="shared" si="22"/>
        <v>1983755.6097167623</v>
      </c>
    </row>
    <row r="61" spans="2:8" x14ac:dyDescent="0.2">
      <c r="B61" s="7" t="s">
        <v>136</v>
      </c>
      <c r="C61" s="19" t="s">
        <v>13</v>
      </c>
      <c r="D61" s="105">
        <v>0</v>
      </c>
      <c r="E61" s="104">
        <f>(E60+D60)*20%</f>
        <v>4292.6384000000025</v>
      </c>
      <c r="F61" s="104">
        <f>F60*20%</f>
        <v>105527.96160663846</v>
      </c>
      <c r="G61" s="104">
        <f t="shared" ref="G61:H61" si="23">G60*20%</f>
        <v>229108.71466048106</v>
      </c>
      <c r="H61" s="104">
        <f t="shared" si="23"/>
        <v>396751.12194335251</v>
      </c>
    </row>
    <row r="62" spans="2:8" ht="16" thickBot="1" x14ac:dyDescent="0.25">
      <c r="B62" s="113" t="s">
        <v>137</v>
      </c>
      <c r="C62" s="114" t="s">
        <v>13</v>
      </c>
      <c r="D62" s="115">
        <f>D60-D61</f>
        <v>-108935</v>
      </c>
      <c r="E62" s="115">
        <f t="shared" ref="E62:H62" si="24">E60-E61</f>
        <v>126105.55360000001</v>
      </c>
      <c r="F62" s="115">
        <f t="shared" si="24"/>
        <v>422111.84642655385</v>
      </c>
      <c r="G62" s="115">
        <f t="shared" si="24"/>
        <v>916434.8586419241</v>
      </c>
      <c r="H62" s="115">
        <f t="shared" si="24"/>
        <v>1587004.4877734098</v>
      </c>
    </row>
    <row r="66" spans="6:6" x14ac:dyDescent="0.2">
      <c r="F66" s="5" t="s">
        <v>138</v>
      </c>
    </row>
  </sheetData>
  <mergeCells count="1">
    <mergeCell ref="B2:H2"/>
  </mergeCells>
  <phoneticPr fontId="9" type="noConversion"/>
  <pageMargins left="0.7" right="0.7" top="0.75" bottom="0.75" header="0.3" footer="0.3"/>
  <ignoredErrors>
    <ignoredError sqref="E61:H6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B590-9D69-1A46-8082-E9BF742AE964}">
  <dimension ref="B2:H98"/>
  <sheetViews>
    <sheetView showGridLines="0" zoomScale="50" zoomScaleNormal="100" workbookViewId="0">
      <pane ySplit="3" topLeftCell="A4" activePane="bottomLeft" state="frozenSplit"/>
      <selection pane="bottomLeft" activeCell="F56" sqref="F56"/>
    </sheetView>
  </sheetViews>
  <sheetFormatPr baseColWidth="10" defaultColWidth="10.83203125" defaultRowHeight="15" x14ac:dyDescent="0.2"/>
  <cols>
    <col min="1" max="1" width="5.5" style="5" customWidth="1"/>
    <col min="2" max="2" width="18" style="5" customWidth="1"/>
    <col min="3" max="4" width="30.5" style="5" customWidth="1"/>
    <col min="5" max="5" width="30.5" style="64" customWidth="1"/>
    <col min="6" max="7" width="30.5" style="5" customWidth="1"/>
    <col min="8" max="10" width="10.83203125" style="5"/>
    <col min="11" max="11" width="10.83203125" style="5" customWidth="1"/>
    <col min="12" max="16384" width="10.83203125" style="5"/>
  </cols>
  <sheetData>
    <row r="2" spans="2:8" ht="16" customHeight="1" x14ac:dyDescent="0.2">
      <c r="B2" s="123" t="s">
        <v>54</v>
      </c>
      <c r="C2" s="123"/>
      <c r="D2" s="123"/>
      <c r="E2" s="123"/>
      <c r="F2" s="123"/>
      <c r="G2" s="123"/>
    </row>
    <row r="3" spans="2:8" x14ac:dyDescent="0.2">
      <c r="B3" s="42" t="s">
        <v>0</v>
      </c>
      <c r="C3" s="43" t="s">
        <v>59</v>
      </c>
      <c r="D3" s="43" t="s">
        <v>58</v>
      </c>
      <c r="E3" s="62" t="s">
        <v>77</v>
      </c>
      <c r="F3" s="43" t="s">
        <v>71</v>
      </c>
      <c r="G3" s="43" t="s">
        <v>70</v>
      </c>
    </row>
    <row r="4" spans="2:8" x14ac:dyDescent="0.2">
      <c r="B4" s="44" t="s">
        <v>19</v>
      </c>
      <c r="C4" s="45"/>
      <c r="D4" s="45"/>
      <c r="E4" s="63"/>
      <c r="F4" s="45"/>
      <c r="G4" s="45"/>
    </row>
    <row r="5" spans="2:8" x14ac:dyDescent="0.2">
      <c r="B5" s="8" t="s">
        <v>55</v>
      </c>
    </row>
    <row r="6" spans="2:8" x14ac:dyDescent="0.2">
      <c r="B6" s="7" t="s">
        <v>56</v>
      </c>
      <c r="C6" s="47">
        <v>0</v>
      </c>
      <c r="D6" s="49">
        <f>'1-Financial Model'!$D$9/12</f>
        <v>0.41666666666666669</v>
      </c>
      <c r="E6" s="46">
        <v>0</v>
      </c>
      <c r="F6" s="49">
        <f>D6</f>
        <v>0.41666666666666669</v>
      </c>
      <c r="G6" s="48">
        <f>F6*'1-Financial Model'!$D$12*30000/32*5%</f>
        <v>937.5</v>
      </c>
      <c r="H6" s="32"/>
    </row>
    <row r="7" spans="2:8" x14ac:dyDescent="0.2">
      <c r="B7" s="7" t="s">
        <v>57</v>
      </c>
      <c r="C7" s="47">
        <v>0</v>
      </c>
      <c r="D7" s="49">
        <f>'1-Financial Model'!$D$9/12</f>
        <v>0.41666666666666669</v>
      </c>
      <c r="E7" s="46">
        <v>0</v>
      </c>
      <c r="F7" s="49">
        <f t="shared" ref="F7:F17" si="0">C6+F6+D7</f>
        <v>0.83333333333333337</v>
      </c>
      <c r="G7" s="48">
        <f>F7*'1-Financial Model'!$D$12*30000/32*5%</f>
        <v>1875</v>
      </c>
    </row>
    <row r="8" spans="2:8" x14ac:dyDescent="0.2">
      <c r="B8" s="7" t="s">
        <v>60</v>
      </c>
      <c r="C8" s="47">
        <v>0</v>
      </c>
      <c r="D8" s="49">
        <f>'1-Financial Model'!$D$9/12</f>
        <v>0.41666666666666669</v>
      </c>
      <c r="E8" s="46">
        <v>0</v>
      </c>
      <c r="F8" s="49">
        <f t="shared" si="0"/>
        <v>1.25</v>
      </c>
      <c r="G8" s="48">
        <f>F8*'1-Financial Model'!$D$12*30000/32*5%</f>
        <v>2812.5</v>
      </c>
    </row>
    <row r="9" spans="2:8" x14ac:dyDescent="0.2">
      <c r="B9" s="7" t="s">
        <v>61</v>
      </c>
      <c r="C9" s="47">
        <v>0</v>
      </c>
      <c r="D9" s="49">
        <f>'1-Financial Model'!$D$9/12</f>
        <v>0.41666666666666669</v>
      </c>
      <c r="E9" s="46">
        <v>0</v>
      </c>
      <c r="F9" s="49">
        <f t="shared" si="0"/>
        <v>1.6666666666666667</v>
      </c>
      <c r="G9" s="48">
        <f>F9*'1-Financial Model'!$D$12*30000/32*5%</f>
        <v>3750</v>
      </c>
    </row>
    <row r="10" spans="2:8" x14ac:dyDescent="0.2">
      <c r="B10" s="7" t="s">
        <v>62</v>
      </c>
      <c r="C10" s="47">
        <v>0</v>
      </c>
      <c r="D10" s="49">
        <f>'1-Financial Model'!$D$9/12</f>
        <v>0.41666666666666669</v>
      </c>
      <c r="E10" s="46">
        <v>0</v>
      </c>
      <c r="F10" s="49">
        <f t="shared" si="0"/>
        <v>2.0833333333333335</v>
      </c>
      <c r="G10" s="48">
        <f>F10*'1-Financial Model'!$D$12*30000/32*5%</f>
        <v>4687.5</v>
      </c>
    </row>
    <row r="11" spans="2:8" x14ac:dyDescent="0.2">
      <c r="B11" s="7" t="s">
        <v>63</v>
      </c>
      <c r="C11" s="47">
        <v>0</v>
      </c>
      <c r="D11" s="49">
        <f>'1-Financial Model'!$D$9/12</f>
        <v>0.41666666666666669</v>
      </c>
      <c r="E11" s="46">
        <v>0</v>
      </c>
      <c r="F11" s="49">
        <f t="shared" si="0"/>
        <v>2.5</v>
      </c>
      <c r="G11" s="48">
        <f>F11*'1-Financial Model'!$D$12*30000/32*5%</f>
        <v>5625</v>
      </c>
    </row>
    <row r="12" spans="2:8" x14ac:dyDescent="0.2">
      <c r="B12" s="7" t="s">
        <v>64</v>
      </c>
      <c r="C12" s="47">
        <v>0</v>
      </c>
      <c r="D12" s="49">
        <f>'1-Financial Model'!$D$9/12</f>
        <v>0.41666666666666669</v>
      </c>
      <c r="E12" s="46">
        <v>0</v>
      </c>
      <c r="F12" s="49">
        <f t="shared" si="0"/>
        <v>2.9166666666666665</v>
      </c>
      <c r="G12" s="48">
        <f>F12*'1-Financial Model'!$D$12*30000/32*5%</f>
        <v>6562.5</v>
      </c>
    </row>
    <row r="13" spans="2:8" x14ac:dyDescent="0.2">
      <c r="B13" s="7" t="s">
        <v>65</v>
      </c>
      <c r="C13" s="47">
        <v>0</v>
      </c>
      <c r="D13" s="49">
        <f>'1-Financial Model'!$D$9/12</f>
        <v>0.41666666666666669</v>
      </c>
      <c r="E13" s="46">
        <v>0</v>
      </c>
      <c r="F13" s="49">
        <f t="shared" si="0"/>
        <v>3.333333333333333</v>
      </c>
      <c r="G13" s="48">
        <f>F13*'1-Financial Model'!$D$12*30000/32*5%</f>
        <v>7500</v>
      </c>
    </row>
    <row r="14" spans="2:8" x14ac:dyDescent="0.2">
      <c r="B14" s="7" t="s">
        <v>66</v>
      </c>
      <c r="C14" s="47">
        <v>0</v>
      </c>
      <c r="D14" s="49">
        <f>'1-Financial Model'!$D$9/12</f>
        <v>0.41666666666666669</v>
      </c>
      <c r="E14" s="46">
        <v>0</v>
      </c>
      <c r="F14" s="49">
        <f t="shared" si="0"/>
        <v>3.7499999999999996</v>
      </c>
      <c r="G14" s="48">
        <f>F14*'1-Financial Model'!$D$12*30000/32*5%</f>
        <v>8437.4999999999982</v>
      </c>
    </row>
    <row r="15" spans="2:8" x14ac:dyDescent="0.2">
      <c r="B15" s="7" t="s">
        <v>67</v>
      </c>
      <c r="C15" s="47">
        <v>0</v>
      </c>
      <c r="D15" s="49">
        <f>'1-Financial Model'!$D$9/12</f>
        <v>0.41666666666666669</v>
      </c>
      <c r="E15" s="46">
        <v>0</v>
      </c>
      <c r="F15" s="49">
        <f t="shared" si="0"/>
        <v>4.1666666666666661</v>
      </c>
      <c r="G15" s="48">
        <f>F15*'1-Financial Model'!$D$12*30000/32*5%</f>
        <v>9374.9999999999982</v>
      </c>
    </row>
    <row r="16" spans="2:8" x14ac:dyDescent="0.2">
      <c r="B16" s="7" t="s">
        <v>68</v>
      </c>
      <c r="C16" s="47">
        <v>0</v>
      </c>
      <c r="D16" s="49">
        <f>'1-Financial Model'!$D$9/12</f>
        <v>0.41666666666666669</v>
      </c>
      <c r="E16" s="46">
        <v>0</v>
      </c>
      <c r="F16" s="49">
        <f t="shared" si="0"/>
        <v>4.583333333333333</v>
      </c>
      <c r="G16" s="48">
        <f>F16*'1-Financial Model'!$D$12*30000/32*5%</f>
        <v>10312.5</v>
      </c>
    </row>
    <row r="17" spans="2:8" x14ac:dyDescent="0.2">
      <c r="B17" s="7" t="s">
        <v>69</v>
      </c>
      <c r="C17" s="47">
        <v>0</v>
      </c>
      <c r="D17" s="49">
        <f>'1-Financial Model'!$D$9/12</f>
        <v>0.41666666666666669</v>
      </c>
      <c r="E17" s="46">
        <v>0</v>
      </c>
      <c r="F17" s="49">
        <f t="shared" si="0"/>
        <v>5</v>
      </c>
      <c r="G17" s="48">
        <f>F17*'1-Financial Model'!$D$12*30000/32*5%</f>
        <v>11250</v>
      </c>
    </row>
    <row r="18" spans="2:8" x14ac:dyDescent="0.2">
      <c r="B18" s="51" t="s">
        <v>72</v>
      </c>
      <c r="C18" s="52"/>
      <c r="D18" s="59">
        <f>SUM(D6:D17)</f>
        <v>5</v>
      </c>
      <c r="E18" s="65"/>
      <c r="F18" s="57">
        <f>F17</f>
        <v>5</v>
      </c>
      <c r="G18" s="56">
        <f>SUM(G6:G17)</f>
        <v>73125</v>
      </c>
    </row>
    <row r="19" spans="2:8" x14ac:dyDescent="0.2">
      <c r="B19" s="53"/>
      <c r="C19" s="54"/>
      <c r="D19" s="54"/>
      <c r="E19" s="46"/>
      <c r="F19" s="54"/>
      <c r="G19" s="11"/>
    </row>
    <row r="20" spans="2:8" x14ac:dyDescent="0.2">
      <c r="B20" s="44" t="s">
        <v>20</v>
      </c>
      <c r="C20" s="45"/>
      <c r="D20" s="45"/>
      <c r="E20" s="63"/>
      <c r="F20" s="45"/>
      <c r="G20" s="45"/>
    </row>
    <row r="21" spans="2:8" x14ac:dyDescent="0.2">
      <c r="B21" s="8" t="s">
        <v>55</v>
      </c>
      <c r="H21" s="32"/>
    </row>
    <row r="22" spans="2:8" x14ac:dyDescent="0.2">
      <c r="B22" s="7" t="s">
        <v>56</v>
      </c>
      <c r="C22" s="58">
        <f>$D$18</f>
        <v>5</v>
      </c>
      <c r="D22" s="49">
        <f>'1-Financial Model'!$E$9/12</f>
        <v>0.91666666666666663</v>
      </c>
      <c r="E22" s="46">
        <v>0</v>
      </c>
      <c r="F22" s="49">
        <f>C22+D22</f>
        <v>5.916666666666667</v>
      </c>
      <c r="G22" s="60">
        <f>F22*'1-Financial Model'!$D$12*30000/32*5%</f>
        <v>13312.5</v>
      </c>
    </row>
    <row r="23" spans="2:8" x14ac:dyDescent="0.2">
      <c r="B23" s="7" t="s">
        <v>57</v>
      </c>
      <c r="C23" s="58">
        <f t="shared" ref="C23:C33" si="1">$D$18</f>
        <v>5</v>
      </c>
      <c r="D23" s="49">
        <f>'1-Financial Model'!$E$9/12</f>
        <v>0.91666666666666663</v>
      </c>
      <c r="E23" s="46">
        <v>0</v>
      </c>
      <c r="F23" s="49">
        <f t="shared" ref="F23:F33" si="2">F22+D23</f>
        <v>6.8333333333333339</v>
      </c>
      <c r="G23" s="60">
        <f>F23*'1-Financial Model'!$D$12*30000/32*5%</f>
        <v>15375</v>
      </c>
    </row>
    <row r="24" spans="2:8" x14ac:dyDescent="0.2">
      <c r="B24" s="7" t="s">
        <v>60</v>
      </c>
      <c r="C24" s="58">
        <f t="shared" si="1"/>
        <v>5</v>
      </c>
      <c r="D24" s="49">
        <f>'1-Financial Model'!$E$9/12</f>
        <v>0.91666666666666663</v>
      </c>
      <c r="E24" s="46">
        <v>0</v>
      </c>
      <c r="F24" s="49">
        <f t="shared" si="2"/>
        <v>7.7500000000000009</v>
      </c>
      <c r="G24" s="60">
        <f>F24*'1-Financial Model'!$D$12*30000/32*5%</f>
        <v>17437.500000000004</v>
      </c>
    </row>
    <row r="25" spans="2:8" x14ac:dyDescent="0.2">
      <c r="B25" s="7" t="s">
        <v>61</v>
      </c>
      <c r="C25" s="58">
        <f t="shared" si="1"/>
        <v>5</v>
      </c>
      <c r="D25" s="49">
        <f>'1-Financial Model'!$E$9/12</f>
        <v>0.91666666666666663</v>
      </c>
      <c r="E25" s="46">
        <v>0</v>
      </c>
      <c r="F25" s="49">
        <f t="shared" si="2"/>
        <v>8.6666666666666679</v>
      </c>
      <c r="G25" s="60">
        <f>F25*'1-Financial Model'!$D$12*30000/32*5%</f>
        <v>19500.000000000004</v>
      </c>
    </row>
    <row r="26" spans="2:8" x14ac:dyDescent="0.2">
      <c r="B26" s="7" t="s">
        <v>62</v>
      </c>
      <c r="C26" s="58">
        <f t="shared" si="1"/>
        <v>5</v>
      </c>
      <c r="D26" s="49">
        <f>'1-Financial Model'!$E$9/12</f>
        <v>0.91666666666666663</v>
      </c>
      <c r="E26" s="46">
        <v>0</v>
      </c>
      <c r="F26" s="49">
        <f t="shared" si="2"/>
        <v>9.5833333333333339</v>
      </c>
      <c r="G26" s="60">
        <f>F26*'1-Financial Model'!$D$12*30000/32*5%</f>
        <v>21562.5</v>
      </c>
    </row>
    <row r="27" spans="2:8" x14ac:dyDescent="0.2">
      <c r="B27" s="7" t="s">
        <v>63</v>
      </c>
      <c r="C27" s="58">
        <f t="shared" si="1"/>
        <v>5</v>
      </c>
      <c r="D27" s="49">
        <f>'1-Financial Model'!$E$9/12</f>
        <v>0.91666666666666663</v>
      </c>
      <c r="E27" s="46">
        <v>0</v>
      </c>
      <c r="F27" s="49">
        <f t="shared" si="2"/>
        <v>10.5</v>
      </c>
      <c r="G27" s="60">
        <f>F27*'1-Financial Model'!$D$12*30000/32*5%</f>
        <v>23625</v>
      </c>
    </row>
    <row r="28" spans="2:8" x14ac:dyDescent="0.2">
      <c r="B28" s="7" t="s">
        <v>64</v>
      </c>
      <c r="C28" s="58">
        <f t="shared" si="1"/>
        <v>5</v>
      </c>
      <c r="D28" s="49">
        <f>'1-Financial Model'!$E$9/12</f>
        <v>0.91666666666666663</v>
      </c>
      <c r="E28" s="46">
        <v>0</v>
      </c>
      <c r="F28" s="49">
        <f t="shared" si="2"/>
        <v>11.416666666666666</v>
      </c>
      <c r="G28" s="60">
        <f>F28*'1-Financial Model'!$D$12*30000/32*5%</f>
        <v>25687.5</v>
      </c>
    </row>
    <row r="29" spans="2:8" x14ac:dyDescent="0.2">
      <c r="B29" s="7" t="s">
        <v>65</v>
      </c>
      <c r="C29" s="58">
        <f t="shared" si="1"/>
        <v>5</v>
      </c>
      <c r="D29" s="49">
        <f>'1-Financial Model'!$E$9/12</f>
        <v>0.91666666666666663</v>
      </c>
      <c r="E29" s="46">
        <v>0</v>
      </c>
      <c r="F29" s="49">
        <f t="shared" si="2"/>
        <v>12.333333333333332</v>
      </c>
      <c r="G29" s="60">
        <f>F29*'1-Financial Model'!$D$12*30000/32*5%</f>
        <v>27750</v>
      </c>
    </row>
    <row r="30" spans="2:8" x14ac:dyDescent="0.2">
      <c r="B30" s="7" t="s">
        <v>66</v>
      </c>
      <c r="C30" s="58">
        <f t="shared" si="1"/>
        <v>5</v>
      </c>
      <c r="D30" s="49">
        <f>'1-Financial Model'!$E$9/12</f>
        <v>0.91666666666666663</v>
      </c>
      <c r="E30" s="46">
        <v>0</v>
      </c>
      <c r="F30" s="49">
        <f t="shared" si="2"/>
        <v>13.249999999999998</v>
      </c>
      <c r="G30" s="60">
        <f>F30*'1-Financial Model'!$D$12*30000/32*5%</f>
        <v>29812.499999999996</v>
      </c>
    </row>
    <row r="31" spans="2:8" x14ac:dyDescent="0.2">
      <c r="B31" s="7" t="s">
        <v>67</v>
      </c>
      <c r="C31" s="58">
        <f t="shared" si="1"/>
        <v>5</v>
      </c>
      <c r="D31" s="49">
        <f>'1-Financial Model'!$E$9/12</f>
        <v>0.91666666666666663</v>
      </c>
      <c r="E31" s="46">
        <v>0</v>
      </c>
      <c r="F31" s="49">
        <f t="shared" si="2"/>
        <v>14.166666666666664</v>
      </c>
      <c r="G31" s="60">
        <f>F31*'1-Financial Model'!$D$12*30000/32*5%</f>
        <v>31874.999999999996</v>
      </c>
    </row>
    <row r="32" spans="2:8" x14ac:dyDescent="0.2">
      <c r="B32" s="7" t="s">
        <v>68</v>
      </c>
      <c r="C32" s="58">
        <f t="shared" si="1"/>
        <v>5</v>
      </c>
      <c r="D32" s="49">
        <f>'1-Financial Model'!$E$9/12</f>
        <v>0.91666666666666663</v>
      </c>
      <c r="E32" s="46">
        <v>0</v>
      </c>
      <c r="F32" s="49">
        <f t="shared" si="2"/>
        <v>15.08333333333333</v>
      </c>
      <c r="G32" s="60">
        <f>F32*'1-Financial Model'!$D$12*30000/32*5%</f>
        <v>33937.499999999993</v>
      </c>
    </row>
    <row r="33" spans="2:7" x14ac:dyDescent="0.2">
      <c r="B33" s="7" t="s">
        <v>69</v>
      </c>
      <c r="C33" s="58">
        <f t="shared" si="1"/>
        <v>5</v>
      </c>
      <c r="D33" s="49">
        <f>'1-Financial Model'!$E$9/12</f>
        <v>0.91666666666666663</v>
      </c>
      <c r="E33" s="46">
        <v>0</v>
      </c>
      <c r="F33" s="49">
        <f t="shared" si="2"/>
        <v>15.999999999999996</v>
      </c>
      <c r="G33" s="60">
        <f>F33*'1-Financial Model'!$D$12*30000/32*5%</f>
        <v>35999.999999999993</v>
      </c>
    </row>
    <row r="34" spans="2:7" x14ac:dyDescent="0.2">
      <c r="B34" s="51" t="s">
        <v>73</v>
      </c>
      <c r="C34" s="52"/>
      <c r="D34" s="57">
        <f>SUM(D22:D33)+C22</f>
        <v>15.999999999999998</v>
      </c>
      <c r="E34" s="66"/>
      <c r="F34" s="57">
        <f>F33</f>
        <v>15.999999999999996</v>
      </c>
      <c r="G34" s="61">
        <f>SUM(G22:G33)</f>
        <v>295875</v>
      </c>
    </row>
    <row r="35" spans="2:7" x14ac:dyDescent="0.2">
      <c r="B35" s="53"/>
      <c r="C35" s="54"/>
      <c r="D35" s="54"/>
      <c r="E35" s="46"/>
      <c r="F35" s="54"/>
      <c r="G35" s="11"/>
    </row>
    <row r="36" spans="2:7" x14ac:dyDescent="0.2">
      <c r="B36" s="44" t="s">
        <v>21</v>
      </c>
      <c r="C36" s="45"/>
      <c r="D36" s="45"/>
      <c r="E36" s="63"/>
      <c r="F36" s="45"/>
      <c r="G36" s="45"/>
    </row>
    <row r="37" spans="2:7" x14ac:dyDescent="0.2">
      <c r="B37" s="8" t="s">
        <v>55</v>
      </c>
    </row>
    <row r="38" spans="2:7" x14ac:dyDescent="0.2">
      <c r="B38" s="7" t="s">
        <v>56</v>
      </c>
      <c r="C38" s="58">
        <f>$D$34</f>
        <v>15.999999999999998</v>
      </c>
      <c r="D38" s="49">
        <f>'1-Financial Model'!$F$9/12</f>
        <v>1.8333333333333333</v>
      </c>
      <c r="E38" s="67">
        <f>(1-'1-Financial Model'!$F$10)^(1/12)-1</f>
        <v>-4.2653187775606449E-3</v>
      </c>
      <c r="F38" s="49">
        <f>C38+D38+C38*E38</f>
        <v>17.765088232892364</v>
      </c>
      <c r="G38" s="60">
        <f>F38*'1-Financial Model'!$D$12*30000/32*5%</f>
        <v>39971.448524007821</v>
      </c>
    </row>
    <row r="39" spans="2:7" x14ac:dyDescent="0.2">
      <c r="B39" s="7" t="s">
        <v>57</v>
      </c>
      <c r="C39" s="58">
        <f>$D$34+C38*E38</f>
        <v>15.931754899559028</v>
      </c>
      <c r="D39" s="49">
        <f>'1-Financial Model'!$F$9/12</f>
        <v>1.8333333333333333</v>
      </c>
      <c r="E39" s="67">
        <f>(1-'1-Financial Model'!$F$10)^(1/12)-1</f>
        <v>-4.2653187775606449E-3</v>
      </c>
      <c r="F39" s="49">
        <f>F38+D39+C39*E39</f>
        <v>19.530467552893114</v>
      </c>
      <c r="G39" s="60">
        <f>F39*'1-Financial Model'!$D$12*30000/32*5%</f>
        <v>43943.551994009511</v>
      </c>
    </row>
    <row r="40" spans="2:7" x14ac:dyDescent="0.2">
      <c r="B40" s="7" t="s">
        <v>60</v>
      </c>
      <c r="C40" s="58">
        <f t="shared" ref="C40:C49" si="3">$D$34+C39*E39</f>
        <v>15.932045986667415</v>
      </c>
      <c r="D40" s="49">
        <f>'1-Financial Model'!$F$9/12</f>
        <v>1.8333333333333333</v>
      </c>
      <c r="E40" s="67">
        <f>(1-'1-Financial Model'!$F$10)^(1/12)-1</f>
        <v>-4.2653187775606449E-3</v>
      </c>
      <c r="F40" s="49">
        <f t="shared" ref="F40:F49" si="4">F39+D40+C40*E40</f>
        <v>21.295845631314553</v>
      </c>
      <c r="G40" s="60">
        <f>F40*'1-Financial Model'!$D$12*30000/32*5%</f>
        <v>47915.652670457748</v>
      </c>
    </row>
    <row r="41" spans="2:7" x14ac:dyDescent="0.2">
      <c r="B41" s="7" t="s">
        <v>61</v>
      </c>
      <c r="C41" s="58">
        <f t="shared" si="3"/>
        <v>15.932044745088106</v>
      </c>
      <c r="D41" s="49">
        <f>'1-Financial Model'!$F$9/12</f>
        <v>1.8333333333333333</v>
      </c>
      <c r="E41" s="67">
        <f>(1-'1-Financial Model'!$F$10)^(1/12)-1</f>
        <v>-4.2653187775606449E-3</v>
      </c>
      <c r="F41" s="49">
        <f t="shared" si="4"/>
        <v>23.061223715031723</v>
      </c>
      <c r="G41" s="60">
        <f>F41*'1-Financial Model'!$D$12*30000/32*5%</f>
        <v>51887.753358821377</v>
      </c>
    </row>
    <row r="42" spans="2:7" x14ac:dyDescent="0.2">
      <c r="B42" s="7" t="s">
        <v>62</v>
      </c>
      <c r="C42" s="58">
        <f t="shared" si="3"/>
        <v>15.932044750383838</v>
      </c>
      <c r="D42" s="49">
        <f>'1-Financial Model'!$F$9/12</f>
        <v>1.8333333333333333</v>
      </c>
      <c r="E42" s="67">
        <f>(1-'1-Financial Model'!$F$10)^(1/12)-1</f>
        <v>-4.2653187775606449E-3</v>
      </c>
      <c r="F42" s="49">
        <f t="shared" si="4"/>
        <v>24.826601798726305</v>
      </c>
      <c r="G42" s="60">
        <f>F42*'1-Financial Model'!$D$12*30000/32*5%</f>
        <v>55859.854047134198</v>
      </c>
    </row>
    <row r="43" spans="2:7" x14ac:dyDescent="0.2">
      <c r="B43" s="7" t="s">
        <v>63</v>
      </c>
      <c r="C43" s="58">
        <f t="shared" si="3"/>
        <v>15.93204475036125</v>
      </c>
      <c r="D43" s="49">
        <f>'1-Financial Model'!$F$9/12</f>
        <v>1.8333333333333333</v>
      </c>
      <c r="E43" s="67">
        <f>(1-'1-Financial Model'!$F$10)^(1/12)-1</f>
        <v>-4.2653187775606449E-3</v>
      </c>
      <c r="F43" s="49">
        <f t="shared" si="4"/>
        <v>26.591979882420986</v>
      </c>
      <c r="G43" s="60">
        <f>F43*'1-Financial Model'!$D$12*30000/32*5%</f>
        <v>59831.954735447223</v>
      </c>
    </row>
    <row r="44" spans="2:7" x14ac:dyDescent="0.2">
      <c r="B44" s="7" t="s">
        <v>64</v>
      </c>
      <c r="C44" s="58">
        <f t="shared" si="3"/>
        <v>15.932044750361346</v>
      </c>
      <c r="D44" s="49">
        <f>'1-Financial Model'!$F$9/12</f>
        <v>1.8333333333333333</v>
      </c>
      <c r="E44" s="67">
        <f>(1-'1-Financial Model'!$F$10)^(1/12)-1</f>
        <v>-4.2653187775606449E-3</v>
      </c>
      <c r="F44" s="49">
        <f t="shared" si="4"/>
        <v>28.357357966115664</v>
      </c>
      <c r="G44" s="60">
        <f>F44*'1-Financial Model'!$D$12*30000/32*5%</f>
        <v>63804.055423760241</v>
      </c>
    </row>
    <row r="45" spans="2:7" x14ac:dyDescent="0.2">
      <c r="B45" s="7" t="s">
        <v>65</v>
      </c>
      <c r="C45" s="58">
        <f t="shared" si="3"/>
        <v>15.932044750361346</v>
      </c>
      <c r="D45" s="49">
        <f>'1-Financial Model'!$F$9/12</f>
        <v>1.8333333333333333</v>
      </c>
      <c r="E45" s="67">
        <f>(1-'1-Financial Model'!$F$10)^(1/12)-1</f>
        <v>-4.2653187775606449E-3</v>
      </c>
      <c r="F45" s="49">
        <f t="shared" si="4"/>
        <v>30.122736049810342</v>
      </c>
      <c r="G45" s="60">
        <f>F45*'1-Financial Model'!$D$12*30000/32*5%</f>
        <v>67776.156112073266</v>
      </c>
    </row>
    <row r="46" spans="2:7" x14ac:dyDescent="0.2">
      <c r="B46" s="7" t="s">
        <v>66</v>
      </c>
      <c r="C46" s="58">
        <f t="shared" si="3"/>
        <v>15.932044750361346</v>
      </c>
      <c r="D46" s="49">
        <f>'1-Financial Model'!$F$9/12</f>
        <v>1.8333333333333333</v>
      </c>
      <c r="E46" s="67">
        <f>(1-'1-Financial Model'!$F$10)^(1/12)-1</f>
        <v>-4.2653187775606449E-3</v>
      </c>
      <c r="F46" s="49">
        <f t="shared" si="4"/>
        <v>31.88811413350502</v>
      </c>
      <c r="G46" s="60">
        <f>F46*'1-Financial Model'!$D$12*30000/32*5%</f>
        <v>71748.256800386298</v>
      </c>
    </row>
    <row r="47" spans="2:7" x14ac:dyDescent="0.2">
      <c r="B47" s="7" t="s">
        <v>67</v>
      </c>
      <c r="C47" s="58">
        <f t="shared" si="3"/>
        <v>15.932044750361346</v>
      </c>
      <c r="D47" s="49">
        <f>'1-Financial Model'!$F$9/12</f>
        <v>1.8333333333333333</v>
      </c>
      <c r="E47" s="67">
        <f>(1-'1-Financial Model'!$F$10)^(1/12)-1</f>
        <v>-4.2653187775606449E-3</v>
      </c>
      <c r="F47" s="49">
        <f t="shared" si="4"/>
        <v>33.653492217199705</v>
      </c>
      <c r="G47" s="60">
        <f>F47*'1-Financial Model'!$D$12*30000/32*5%</f>
        <v>75720.357488699345</v>
      </c>
    </row>
    <row r="48" spans="2:7" x14ac:dyDescent="0.2">
      <c r="B48" s="7" t="s">
        <v>68</v>
      </c>
      <c r="C48" s="58">
        <f t="shared" si="3"/>
        <v>15.932044750361346</v>
      </c>
      <c r="D48" s="49">
        <f>'1-Financial Model'!$F$9/12</f>
        <v>1.8333333333333333</v>
      </c>
      <c r="E48" s="67">
        <f>(1-'1-Financial Model'!$F$10)^(1/12)-1</f>
        <v>-4.2653187775606449E-3</v>
      </c>
      <c r="F48" s="49">
        <f t="shared" si="4"/>
        <v>35.41887030089439</v>
      </c>
      <c r="G48" s="60">
        <f>F48*'1-Financial Model'!$D$12*30000/32*5%</f>
        <v>79692.458177012391</v>
      </c>
    </row>
    <row r="49" spans="2:7" x14ac:dyDescent="0.2">
      <c r="B49" s="7" t="s">
        <v>69</v>
      </c>
      <c r="C49" s="58">
        <f t="shared" si="3"/>
        <v>15.932044750361346</v>
      </c>
      <c r="D49" s="49">
        <f>'1-Financial Model'!$F$9/12</f>
        <v>1.8333333333333333</v>
      </c>
      <c r="E49" s="67">
        <f>(1-'1-Financial Model'!$F$10)^(1/12)-1</f>
        <v>-4.2653187775606449E-3</v>
      </c>
      <c r="F49" s="49">
        <f t="shared" si="4"/>
        <v>37.184248384589075</v>
      </c>
      <c r="G49" s="60">
        <f>F49*'1-Financial Model'!$D$12*30000/32*5%</f>
        <v>83664.558865325424</v>
      </c>
    </row>
    <row r="50" spans="2:7" x14ac:dyDescent="0.2">
      <c r="B50" s="51" t="s">
        <v>74</v>
      </c>
      <c r="C50" s="52"/>
      <c r="D50" s="57">
        <f>SUM(D38:D49)+C38</f>
        <v>37.999999999999993</v>
      </c>
      <c r="E50" s="66"/>
      <c r="F50" s="57">
        <f>F49</f>
        <v>37.184248384589075</v>
      </c>
      <c r="G50" s="61">
        <f>SUM(G38:G49)</f>
        <v>741816.05819713487</v>
      </c>
    </row>
    <row r="51" spans="2:7" x14ac:dyDescent="0.2">
      <c r="B51" s="13"/>
      <c r="C51" s="41"/>
      <c r="D51" s="41"/>
      <c r="E51" s="41"/>
      <c r="F51" s="41"/>
      <c r="G51" s="41"/>
    </row>
    <row r="52" spans="2:7" x14ac:dyDescent="0.2">
      <c r="B52" s="44" t="s">
        <v>22</v>
      </c>
      <c r="C52" s="45"/>
      <c r="D52" s="45"/>
      <c r="E52" s="63"/>
      <c r="F52" s="45"/>
      <c r="G52" s="45"/>
    </row>
    <row r="53" spans="2:7" x14ac:dyDescent="0.2">
      <c r="B53" s="8" t="s">
        <v>55</v>
      </c>
    </row>
    <row r="54" spans="2:7" x14ac:dyDescent="0.2">
      <c r="B54" s="7" t="s">
        <v>56</v>
      </c>
      <c r="C54" s="58">
        <f>F50</f>
        <v>37.184248384589075</v>
      </c>
      <c r="D54" s="49">
        <f>'1-Financial Model'!$G$9/12</f>
        <v>2.8333333333333335</v>
      </c>
      <c r="E54" s="67">
        <f>(1-'1-Financial Model'!$F$10)^(1/12)-1</f>
        <v>-4.2653187775606449E-3</v>
      </c>
      <c r="F54" s="49">
        <f>C54+D54+C54*E54</f>
        <v>39.858979045058142</v>
      </c>
      <c r="G54" s="60">
        <f>F54*'1-Financial Model'!$D$12*30000/32*5%</f>
        <v>89682.702851380833</v>
      </c>
    </row>
    <row r="55" spans="2:7" x14ac:dyDescent="0.2">
      <c r="B55" s="7" t="s">
        <v>57</v>
      </c>
      <c r="C55" s="58">
        <f>C54+C54*E54</f>
        <v>37.025645711724806</v>
      </c>
      <c r="D55" s="49">
        <f>'1-Financial Model'!$G$9/12</f>
        <v>2.8333333333333335</v>
      </c>
      <c r="E55" s="67">
        <f>(1-'1-Financial Model'!$F$10)^(1/12)-1</f>
        <v>-4.2653187775606449E-3</v>
      </c>
      <c r="F55" s="49">
        <f>F54+D55+C55*E55</f>
        <v>42.534386196485947</v>
      </c>
      <c r="G55" s="60">
        <f>F55*'1-Financial Model'!$D$12*30000/32*5%</f>
        <v>95702.368942093395</v>
      </c>
    </row>
    <row r="56" spans="2:7" x14ac:dyDescent="0.2">
      <c r="B56" s="7" t="s">
        <v>60</v>
      </c>
      <c r="C56" s="58">
        <f t="shared" ref="C56:C65" si="5">C55+C55*E55</f>
        <v>36.867719529819276</v>
      </c>
      <c r="D56" s="49">
        <f>'1-Financial Model'!$G$9/12</f>
        <v>2.8333333333333335</v>
      </c>
      <c r="E56" s="67">
        <f>(1-'1-Financial Model'!$F$10)^(1/12)-1</f>
        <v>-4.2653187775606449E-3</v>
      </c>
      <c r="F56" s="49">
        <f t="shared" ref="F56:F65" si="6">F55+D56+C56*E56</f>
        <v>45.210466953422909</v>
      </c>
      <c r="G56" s="60">
        <f>F56*'1-Financial Model'!$D$12*30000/32*5%</f>
        <v>101723.55064520157</v>
      </c>
    </row>
    <row r="57" spans="2:7" x14ac:dyDescent="0.2">
      <c r="B57" s="7" t="s">
        <v>61</v>
      </c>
      <c r="C57" s="58">
        <f t="shared" si="5"/>
        <v>36.710466953422895</v>
      </c>
      <c r="D57" s="49">
        <f>'1-Financial Model'!$G$9/12</f>
        <v>2.8333333333333335</v>
      </c>
      <c r="E57" s="67">
        <f>(1-'1-Financial Model'!$F$10)^(1/12)-1</f>
        <v>-4.2653187775606449E-3</v>
      </c>
      <c r="F57" s="49">
        <f t="shared" si="6"/>
        <v>47.887218442726791</v>
      </c>
      <c r="G57" s="60">
        <f>F57*'1-Financial Model'!$D$12*30000/32*5%</f>
        <v>107746.24149613528</v>
      </c>
    </row>
    <row r="58" spans="2:7" x14ac:dyDescent="0.2">
      <c r="B58" s="7" t="s">
        <v>62</v>
      </c>
      <c r="C58" s="58">
        <f t="shared" si="5"/>
        <v>36.553885109393441</v>
      </c>
      <c r="D58" s="49">
        <f>'1-Financial Model'!$G$9/12</f>
        <v>2.8333333333333335</v>
      </c>
      <c r="E58" s="67">
        <f>(1-'1-Financial Model'!$F$10)^(1/12)-1</f>
        <v>-4.2653187775606449E-3</v>
      </c>
      <c r="F58" s="49">
        <f t="shared" si="6"/>
        <v>50.564637803510237</v>
      </c>
      <c r="G58" s="60">
        <f>F58*'1-Financial Model'!$D$12*30000/32*5%</f>
        <v>113770.43505789804</v>
      </c>
    </row>
    <row r="59" spans="2:7" x14ac:dyDescent="0.2">
      <c r="B59" s="7" t="s">
        <v>63</v>
      </c>
      <c r="C59" s="58">
        <f t="shared" si="5"/>
        <v>36.397971136843552</v>
      </c>
      <c r="D59" s="49">
        <f>'1-Financial Model'!$G$9/12</f>
        <v>2.8333333333333335</v>
      </c>
      <c r="E59" s="67">
        <f>(1-'1-Financial Model'!$F$10)^(1/12)-1</f>
        <v>-4.2653187775606449E-3</v>
      </c>
      <c r="F59" s="49">
        <f t="shared" si="6"/>
        <v>53.242722187088482</v>
      </c>
      <c r="G59" s="60">
        <f>F59*'1-Financial Model'!$D$12*30000/32*5%</f>
        <v>119796.12492094909</v>
      </c>
    </row>
    <row r="60" spans="2:7" x14ac:dyDescent="0.2">
      <c r="B60" s="7" t="s">
        <v>64</v>
      </c>
      <c r="C60" s="58">
        <f t="shared" si="5"/>
        <v>36.242722187088461</v>
      </c>
      <c r="D60" s="49">
        <f>'1-Financial Model'!$G$9/12</f>
        <v>2.8333333333333335</v>
      </c>
      <c r="E60" s="67">
        <f>(1-'1-Financial Model'!$F$10)^(1/12)-1</f>
        <v>-4.2653187775606449E-3</v>
      </c>
      <c r="F60" s="49">
        <f t="shared" si="6"/>
        <v>55.921468756927318</v>
      </c>
      <c r="G60" s="60">
        <f>F60*'1-Financial Model'!$D$12*30000/32*5%</f>
        <v>125823.30470308648</v>
      </c>
    </row>
    <row r="61" spans="2:7" x14ac:dyDescent="0.2">
      <c r="B61" s="7" t="s">
        <v>65</v>
      </c>
      <c r="C61" s="58">
        <f t="shared" si="5"/>
        <v>36.088135423593961</v>
      </c>
      <c r="D61" s="49">
        <f>'1-Financial Model'!$G$9/12</f>
        <v>2.8333333333333335</v>
      </c>
      <c r="E61" s="67">
        <f>(1-'1-Financial Model'!$F$10)^(1/12)-1</f>
        <v>-4.2653187775606449E-3</v>
      </c>
      <c r="F61" s="49">
        <f t="shared" si="6"/>
        <v>58.600874688591247</v>
      </c>
      <c r="G61" s="60">
        <f>F61*'1-Financial Model'!$D$12*30000/32*5%</f>
        <v>131851.96804933029</v>
      </c>
    </row>
    <row r="62" spans="2:7" x14ac:dyDescent="0.2">
      <c r="B62" s="7" t="s">
        <v>66</v>
      </c>
      <c r="C62" s="58">
        <f t="shared" si="5"/>
        <v>35.934208021924555</v>
      </c>
      <c r="D62" s="49">
        <f>'1-Financial Model'!$G$9/12</f>
        <v>2.8333333333333335</v>
      </c>
      <c r="E62" s="67">
        <f>(1-'1-Financial Model'!$F$10)^(1/12)-1</f>
        <v>-4.2653187775606449E-3</v>
      </c>
      <c r="F62" s="49">
        <f t="shared" si="6"/>
        <v>61.280937169691896</v>
      </c>
      <c r="G62" s="60">
        <f>F62*'1-Financial Model'!$D$12*30000/32*5%</f>
        <v>137882.10863180677</v>
      </c>
    </row>
    <row r="63" spans="2:7" x14ac:dyDescent="0.2">
      <c r="B63" s="7" t="s">
        <v>67</v>
      </c>
      <c r="C63" s="58">
        <f t="shared" si="5"/>
        <v>35.780937169691867</v>
      </c>
      <c r="D63" s="49">
        <f>'1-Financial Model'!$G$9/12</f>
        <v>2.8333333333333335</v>
      </c>
      <c r="E63" s="67">
        <f>(1-'1-Financial Model'!$F$10)^(1/12)-1</f>
        <v>-4.2653187775606449E-3</v>
      </c>
      <c r="F63" s="49">
        <f t="shared" si="6"/>
        <v>63.961653399836621</v>
      </c>
      <c r="G63" s="60">
        <f>F63*'1-Financial Model'!$D$12*30000/32*5%</f>
        <v>143913.7201496324</v>
      </c>
    </row>
    <row r="64" spans="2:7" x14ac:dyDescent="0.2">
      <c r="B64" s="7" t="s">
        <v>68</v>
      </c>
      <c r="C64" s="58">
        <f t="shared" si="5"/>
        <v>35.628320066503264</v>
      </c>
      <c r="D64" s="49">
        <f>'1-Financial Model'!$G$9/12</f>
        <v>2.8333333333333335</v>
      </c>
      <c r="E64" s="67">
        <f>(1-'1-Financial Model'!$F$10)^(1/12)-1</f>
        <v>-4.2653187775606449E-3</v>
      </c>
      <c r="F64" s="49">
        <f t="shared" si="6"/>
        <v>66.643020590577351</v>
      </c>
      <c r="G64" s="60">
        <f>F64*'1-Financial Model'!$D$12*30000/32*5%</f>
        <v>149946.79632879904</v>
      </c>
    </row>
    <row r="65" spans="2:7" x14ac:dyDescent="0.2">
      <c r="B65" s="7" t="s">
        <v>69</v>
      </c>
      <c r="C65" s="58">
        <f t="shared" si="5"/>
        <v>35.476353923910665</v>
      </c>
      <c r="D65" s="49">
        <f>'1-Financial Model'!$G$9/12</f>
        <v>2.8333333333333335</v>
      </c>
      <c r="E65" s="67">
        <f>(1-'1-Financial Model'!$F$10)^(1/12)-1</f>
        <v>-4.2653187775606449E-3</v>
      </c>
      <c r="F65" s="49">
        <f t="shared" si="6"/>
        <v>69.325035965359632</v>
      </c>
      <c r="G65" s="60">
        <f>F65*'1-Financial Model'!$D$12*30000/32*5%</f>
        <v>155981.33092205919</v>
      </c>
    </row>
    <row r="66" spans="2:7" x14ac:dyDescent="0.2">
      <c r="B66" s="51" t="s">
        <v>75</v>
      </c>
      <c r="C66" s="52"/>
      <c r="D66" s="57">
        <f>SUM(D54:D65)+C54</f>
        <v>71.184248384589068</v>
      </c>
      <c r="E66" s="66"/>
      <c r="F66" s="57">
        <f>F65</f>
        <v>69.325035965359632</v>
      </c>
      <c r="G66" s="61">
        <f>SUM(G54:G65)</f>
        <v>1473820.6526983725</v>
      </c>
    </row>
    <row r="68" spans="2:7" x14ac:dyDescent="0.2">
      <c r="B68" s="44" t="s">
        <v>23</v>
      </c>
      <c r="C68" s="45"/>
      <c r="D68" s="45"/>
      <c r="E68" s="63"/>
      <c r="F68" s="45"/>
      <c r="G68" s="45"/>
    </row>
    <row r="69" spans="2:7" x14ac:dyDescent="0.2">
      <c r="B69" s="8" t="s">
        <v>55</v>
      </c>
    </row>
    <row r="70" spans="2:7" x14ac:dyDescent="0.2">
      <c r="B70" s="7" t="s">
        <v>56</v>
      </c>
      <c r="C70" s="58">
        <f>F66</f>
        <v>69.325035965359632</v>
      </c>
      <c r="D70" s="49">
        <f>'1-Financial Model'!$H$9/12</f>
        <v>3.4166666666666665</v>
      </c>
      <c r="E70" s="67">
        <f>(1-'1-Financial Model'!$F$10)^(1/12)-1</f>
        <v>-4.2653187775606449E-3</v>
      </c>
      <c r="F70" s="49">
        <f>C70+D70+C70*E70</f>
        <v>72.446009254368192</v>
      </c>
      <c r="G70" s="60">
        <f>F70*'1-Financial Model'!$D$12*30000/32*5%</f>
        <v>163003.52082232843</v>
      </c>
    </row>
    <row r="71" spans="2:7" x14ac:dyDescent="0.2">
      <c r="B71" s="7" t="s">
        <v>57</v>
      </c>
      <c r="C71" s="58">
        <f>C70+C70*E70</f>
        <v>69.029342587701521</v>
      </c>
      <c r="D71" s="49">
        <f>'1-Financial Model'!$H$9/12</f>
        <v>3.4166666666666665</v>
      </c>
      <c r="E71" s="67">
        <f>(1-'1-Financial Model'!$F$10)^(1/12)-1</f>
        <v>-4.2653187775606449E-3</v>
      </c>
      <c r="F71" s="49">
        <f>F70+D71+C71*E71</f>
        <v>75.568243769892874</v>
      </c>
      <c r="G71" s="60">
        <f>F71*'1-Financial Model'!$D$12*30000/32*5%</f>
        <v>170028.54848225895</v>
      </c>
    </row>
    <row r="72" spans="2:7" x14ac:dyDescent="0.2">
      <c r="B72" s="7" t="s">
        <v>60</v>
      </c>
      <c r="C72" s="58">
        <f t="shared" ref="C72:C81" si="7">C71+C71*E71</f>
        <v>68.734910436559531</v>
      </c>
      <c r="D72" s="49">
        <f>'1-Financial Model'!$H$9/12</f>
        <v>3.4166666666666665</v>
      </c>
      <c r="E72" s="67">
        <f>(1-'1-Financial Model'!$F$10)^(1/12)-1</f>
        <v>-4.2653187775606449E-3</v>
      </c>
      <c r="F72" s="49">
        <f t="shared" ref="F72:F81" si="8">F71+D72+C72*E72</f>
        <v>78.691734132400541</v>
      </c>
      <c r="G72" s="60">
        <f>F72*'1-Financial Model'!$D$12*30000/32*5%</f>
        <v>177056.40179790123</v>
      </c>
    </row>
    <row r="73" spans="2:7" x14ac:dyDescent="0.2">
      <c r="B73" s="7" t="s">
        <v>61</v>
      </c>
      <c r="C73" s="58">
        <f t="shared" si="7"/>
        <v>68.441734132400526</v>
      </c>
      <c r="D73" s="49">
        <f>'1-Financial Model'!$H$9/12</f>
        <v>3.4166666666666665</v>
      </c>
      <c r="E73" s="67">
        <f>(1-'1-Financial Model'!$F$10)^(1/12)-1</f>
        <v>-4.2653187775606449E-3</v>
      </c>
      <c r="F73" s="49">
        <f t="shared" si="8"/>
        <v>81.816474985303472</v>
      </c>
      <c r="G73" s="60">
        <f>F73*'1-Financial Model'!$D$12*30000/32*5%</f>
        <v>184087.06871693282</v>
      </c>
    </row>
    <row r="74" spans="2:7" x14ac:dyDescent="0.2">
      <c r="B74" s="7" t="s">
        <v>62</v>
      </c>
      <c r="C74" s="58">
        <f t="shared" si="7"/>
        <v>68.149808318636786</v>
      </c>
      <c r="D74" s="49">
        <f>'1-Financial Model'!$H$9/12</f>
        <v>3.4166666666666665</v>
      </c>
      <c r="E74" s="67">
        <f>(1-'1-Financial Model'!$F$10)^(1/12)-1</f>
        <v>-4.2653187775606449E-3</v>
      </c>
      <c r="F74" s="49">
        <f t="shared" si="8"/>
        <v>84.942460994861506</v>
      </c>
      <c r="G74" s="60">
        <f>F74*'1-Financial Model'!$D$12*30000/32*5%</f>
        <v>191120.53723843838</v>
      </c>
    </row>
    <row r="75" spans="2:7" x14ac:dyDescent="0.2">
      <c r="B75" s="7" t="s">
        <v>63</v>
      </c>
      <c r="C75" s="58">
        <f t="shared" si="7"/>
        <v>67.859127661528149</v>
      </c>
      <c r="D75" s="49">
        <f>'1-Financial Model'!$H$9/12</f>
        <v>3.4166666666666665</v>
      </c>
      <c r="E75" s="67">
        <f>(1-'1-Financial Model'!$F$10)^(1/12)-1</f>
        <v>-4.2653187775606449E-3</v>
      </c>
      <c r="F75" s="49">
        <f t="shared" si="8"/>
        <v>88.06968685008458</v>
      </c>
      <c r="G75" s="60">
        <f>F75*'1-Financial Model'!$D$12*30000/32*5%</f>
        <v>198156.79541269032</v>
      </c>
    </row>
    <row r="76" spans="2:7" x14ac:dyDescent="0.2">
      <c r="B76" s="7" t="s">
        <v>64</v>
      </c>
      <c r="C76" s="58">
        <f t="shared" si="7"/>
        <v>67.569686850084551</v>
      </c>
      <c r="D76" s="49">
        <f>'1-Financial Model'!$H$9/12</f>
        <v>3.4166666666666665</v>
      </c>
      <c r="E76" s="67">
        <f>(1-'1-Financial Model'!$F$10)^(1/12)-1</f>
        <v>-4.2653187775606449E-3</v>
      </c>
      <c r="F76" s="49">
        <f t="shared" si="8"/>
        <v>91.198147262635686</v>
      </c>
      <c r="G76" s="60">
        <f>F76*'1-Financial Model'!$D$12*30000/32*5%</f>
        <v>205195.83134093031</v>
      </c>
    </row>
    <row r="77" spans="2:7" x14ac:dyDescent="0.2">
      <c r="B77" s="7" t="s">
        <v>65</v>
      </c>
      <c r="C77" s="58">
        <f t="shared" si="7"/>
        <v>67.281480595968986</v>
      </c>
      <c r="D77" s="49">
        <f>'1-Financial Model'!$H$9/12</f>
        <v>3.4166666666666665</v>
      </c>
      <c r="E77" s="67">
        <f>(1-'1-Financial Model'!$F$10)^(1/12)-1</f>
        <v>-4.2653187775606449E-3</v>
      </c>
      <c r="F77" s="49">
        <f t="shared" si="8"/>
        <v>94.327836966734296</v>
      </c>
      <c r="G77" s="60">
        <f>F77*'1-Financial Model'!$D$12*30000/32*5%</f>
        <v>212237.63317515218</v>
      </c>
    </row>
    <row r="78" spans="2:7" x14ac:dyDescent="0.2">
      <c r="B78" s="7" t="s">
        <v>66</v>
      </c>
      <c r="C78" s="58">
        <f t="shared" si="7"/>
        <v>66.994503633400925</v>
      </c>
      <c r="D78" s="49">
        <f>'1-Financial Model'!$H$9/12</f>
        <v>3.4166666666666665</v>
      </c>
      <c r="E78" s="67">
        <f>(1-'1-Financial Model'!$F$10)^(1/12)-1</f>
        <v>-4.2653187775606449E-3</v>
      </c>
      <c r="F78" s="49">
        <f t="shared" si="8"/>
        <v>97.458750719060063</v>
      </c>
      <c r="G78" s="60">
        <f>F78*'1-Financial Model'!$D$12*30000/32*5%</f>
        <v>219282.18911788517</v>
      </c>
    </row>
    <row r="79" spans="2:7" x14ac:dyDescent="0.2">
      <c r="B79" s="7" t="s">
        <v>67</v>
      </c>
      <c r="C79" s="58">
        <f t="shared" si="7"/>
        <v>66.708750719060021</v>
      </c>
      <c r="D79" s="49">
        <f>'1-Financial Model'!$H$9/12</f>
        <v>3.4166666666666665</v>
      </c>
      <c r="E79" s="67">
        <f>(1-'1-Financial Model'!$F$10)^(1/12)-1</f>
        <v>-4.2653187775606449E-3</v>
      </c>
      <c r="F79" s="49">
        <f t="shared" si="8"/>
        <v>100.59088329865712</v>
      </c>
      <c r="G79" s="60">
        <f>F79*'1-Financial Model'!$D$12*30000/32*5%</f>
        <v>226329.48742197856</v>
      </c>
    </row>
    <row r="80" spans="2:7" x14ac:dyDescent="0.2">
      <c r="B80" s="7" t="s">
        <v>68</v>
      </c>
      <c r="C80" s="58">
        <f t="shared" si="7"/>
        <v>66.424216631990404</v>
      </c>
      <c r="D80" s="49">
        <f>'1-Financial Model'!$H$9/12</f>
        <v>3.4166666666666665</v>
      </c>
      <c r="E80" s="67">
        <f>(1-'1-Financial Model'!$F$10)^(1/12)-1</f>
        <v>-4.2653187775606449E-3</v>
      </c>
      <c r="F80" s="49">
        <f t="shared" si="8"/>
        <v>103.72422950683861</v>
      </c>
      <c r="G80" s="60">
        <f>F80*'1-Financial Model'!$D$12*30000/32*5%</f>
        <v>233379.51639038688</v>
      </c>
    </row>
    <row r="81" spans="2:7" x14ac:dyDescent="0.2">
      <c r="B81" s="7" t="s">
        <v>69</v>
      </c>
      <c r="C81" s="58">
        <f t="shared" si="7"/>
        <v>66.140896173505226</v>
      </c>
      <c r="D81" s="49">
        <f>'1-Financial Model'!$H$9/12</f>
        <v>3.4166666666666665</v>
      </c>
      <c r="E81" s="67">
        <f>(1-'1-Financial Model'!$F$10)^(1/12)-1</f>
        <v>-4.2653187775606449E-3</v>
      </c>
      <c r="F81" s="49">
        <f t="shared" si="8"/>
        <v>106.85878416709174</v>
      </c>
      <c r="G81" s="60">
        <f>F81*'1-Financial Model'!$D$12*30000/32*5%</f>
        <v>240432.26437595641</v>
      </c>
    </row>
    <row r="82" spans="2:7" x14ac:dyDescent="0.2">
      <c r="B82" s="51" t="s">
        <v>76</v>
      </c>
      <c r="C82" s="52"/>
      <c r="D82" s="57">
        <f>SUM(D70:D81)+C70</f>
        <v>110.32503596535963</v>
      </c>
      <c r="E82" s="66"/>
      <c r="F82" s="57">
        <f>F81</f>
        <v>106.85878416709174</v>
      </c>
      <c r="G82" s="61">
        <f>SUM(G70:G81)</f>
        <v>2420309.7942928392</v>
      </c>
    </row>
    <row r="84" spans="2:7" ht="16" thickBot="1" x14ac:dyDescent="0.25">
      <c r="B84" s="116" t="s">
        <v>49</v>
      </c>
      <c r="C84" s="117"/>
      <c r="D84" s="117"/>
      <c r="E84" s="118"/>
      <c r="F84" s="117"/>
      <c r="G84" s="115">
        <f>G18+G34+G50+G66+G82</f>
        <v>5004946.5051883468</v>
      </c>
    </row>
    <row r="85" spans="2:7" x14ac:dyDescent="0.2">
      <c r="B85" s="8"/>
    </row>
    <row r="86" spans="2:7" x14ac:dyDescent="0.2">
      <c r="B86" s="7"/>
      <c r="C86" s="55"/>
      <c r="D86" s="49"/>
      <c r="E86" s="46"/>
      <c r="F86" s="49"/>
      <c r="G86" s="54"/>
    </row>
    <row r="87" spans="2:7" x14ac:dyDescent="0.2">
      <c r="B87" s="7"/>
      <c r="C87" s="55"/>
      <c r="D87" s="49"/>
      <c r="E87" s="46"/>
      <c r="F87" s="49"/>
      <c r="G87" s="54"/>
    </row>
    <row r="88" spans="2:7" x14ac:dyDescent="0.2">
      <c r="B88" s="7"/>
      <c r="C88" s="55"/>
      <c r="D88" s="49"/>
      <c r="E88" s="46"/>
      <c r="F88" s="49"/>
      <c r="G88" s="54"/>
    </row>
    <row r="89" spans="2:7" x14ac:dyDescent="0.2">
      <c r="B89" s="7"/>
      <c r="C89" s="55"/>
      <c r="D89" s="49"/>
      <c r="E89" s="46"/>
      <c r="F89" s="49"/>
      <c r="G89" s="54"/>
    </row>
    <row r="90" spans="2:7" x14ac:dyDescent="0.2">
      <c r="B90" s="7"/>
      <c r="C90" s="55"/>
      <c r="D90" s="49"/>
      <c r="E90" s="46"/>
      <c r="F90" s="49"/>
      <c r="G90" s="54"/>
    </row>
    <row r="91" spans="2:7" x14ac:dyDescent="0.2">
      <c r="B91" s="7"/>
      <c r="C91" s="55"/>
      <c r="D91" s="49"/>
      <c r="E91" s="46"/>
      <c r="F91" s="49"/>
      <c r="G91" s="54"/>
    </row>
    <row r="92" spans="2:7" x14ac:dyDescent="0.2">
      <c r="B92" s="7"/>
      <c r="C92" s="55"/>
      <c r="D92" s="49"/>
      <c r="E92" s="46"/>
      <c r="F92" s="49"/>
      <c r="G92" s="54"/>
    </row>
    <row r="93" spans="2:7" x14ac:dyDescent="0.2">
      <c r="B93" s="7"/>
      <c r="C93" s="55"/>
      <c r="D93" s="49"/>
      <c r="E93" s="46"/>
      <c r="F93" s="49"/>
      <c r="G93" s="54"/>
    </row>
    <row r="94" spans="2:7" x14ac:dyDescent="0.2">
      <c r="B94" s="7"/>
      <c r="C94" s="55"/>
      <c r="D94" s="49"/>
      <c r="E94" s="46"/>
      <c r="F94" s="49"/>
      <c r="G94" s="54"/>
    </row>
    <row r="95" spans="2:7" x14ac:dyDescent="0.2">
      <c r="B95" s="7"/>
      <c r="C95" s="55"/>
      <c r="D95" s="49"/>
      <c r="E95" s="46"/>
      <c r="F95" s="49"/>
      <c r="G95" s="54"/>
    </row>
    <row r="96" spans="2:7" x14ac:dyDescent="0.2">
      <c r="B96" s="7"/>
      <c r="C96" s="55"/>
      <c r="D96" s="49"/>
      <c r="E96" s="46"/>
      <c r="F96" s="49"/>
      <c r="G96" s="54"/>
    </row>
    <row r="97" spans="2:7" x14ac:dyDescent="0.2">
      <c r="B97" s="7"/>
      <c r="C97" s="55"/>
      <c r="D97" s="49"/>
      <c r="E97" s="46"/>
      <c r="F97" s="49"/>
      <c r="G97" s="54"/>
    </row>
    <row r="98" spans="2:7" x14ac:dyDescent="0.2">
      <c r="B98" s="53"/>
      <c r="C98" s="54"/>
      <c r="D98" s="54"/>
      <c r="E98" s="46"/>
      <c r="F98" s="54"/>
      <c r="G98" s="11"/>
    </row>
  </sheetData>
  <mergeCells count="1">
    <mergeCell ref="B2:G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73C7-6F11-AB4C-B9F1-E3E5D52FAE40}">
  <dimension ref="B2:K24"/>
  <sheetViews>
    <sheetView showGridLines="0" tabSelected="1" zoomScaleNormal="100" workbookViewId="0">
      <pane ySplit="4" topLeftCell="A5" activePane="bottomLeft" state="frozenSplit"/>
      <selection pane="bottomLeft" activeCell="B31" sqref="B31"/>
    </sheetView>
  </sheetViews>
  <sheetFormatPr baseColWidth="10" defaultColWidth="10.83203125" defaultRowHeight="15" x14ac:dyDescent="0.2"/>
  <cols>
    <col min="1" max="1" width="5.5" style="5" customWidth="1"/>
    <col min="2" max="2" width="53.1640625" style="5" customWidth="1"/>
    <col min="3" max="3" width="4.5" style="19" customWidth="1"/>
    <col min="4" max="4" width="12.5" style="19" customWidth="1"/>
    <col min="5" max="9" width="22.33203125" style="5" customWidth="1"/>
    <col min="10" max="13" width="10.83203125" style="5"/>
    <col min="14" max="14" width="10.83203125" style="5" customWidth="1"/>
    <col min="15" max="16384" width="10.83203125" style="5"/>
  </cols>
  <sheetData>
    <row r="2" spans="2:11" ht="16" customHeight="1" x14ac:dyDescent="0.2">
      <c r="B2" s="124" t="s">
        <v>85</v>
      </c>
      <c r="C2" s="124"/>
      <c r="D2" s="124"/>
      <c r="E2" s="124"/>
      <c r="F2" s="124"/>
      <c r="G2" s="124"/>
      <c r="H2" s="124"/>
      <c r="I2" s="124"/>
    </row>
    <row r="3" spans="2:11" x14ac:dyDescent="0.2">
      <c r="B3" s="69"/>
      <c r="C3" s="68"/>
      <c r="D3" s="68"/>
      <c r="E3" s="70">
        <v>2027</v>
      </c>
      <c r="F3" s="70">
        <v>2028</v>
      </c>
      <c r="G3" s="70">
        <v>2029</v>
      </c>
      <c r="H3" s="70">
        <v>2030</v>
      </c>
      <c r="I3" s="70">
        <v>2031</v>
      </c>
    </row>
    <row r="4" spans="2:11" x14ac:dyDescent="0.2">
      <c r="B4" s="71" t="s">
        <v>0</v>
      </c>
      <c r="C4" s="72" t="s">
        <v>11</v>
      </c>
      <c r="D4" s="72" t="s">
        <v>112</v>
      </c>
      <c r="E4" s="73" t="s">
        <v>19</v>
      </c>
      <c r="F4" s="73" t="s">
        <v>20</v>
      </c>
      <c r="G4" s="73" t="s">
        <v>21</v>
      </c>
      <c r="H4" s="73" t="s">
        <v>22</v>
      </c>
      <c r="I4" s="73" t="s">
        <v>23</v>
      </c>
      <c r="K4" s="5" t="s">
        <v>47</v>
      </c>
    </row>
    <row r="5" spans="2:11" x14ac:dyDescent="0.2">
      <c r="B5" s="74" t="s">
        <v>90</v>
      </c>
      <c r="C5" s="75"/>
      <c r="D5" s="75"/>
      <c r="E5" s="76"/>
      <c r="F5" s="76"/>
      <c r="G5" s="76"/>
      <c r="H5" s="76"/>
      <c r="I5" s="76"/>
    </row>
    <row r="6" spans="2:11" x14ac:dyDescent="0.2">
      <c r="B6" s="8" t="s">
        <v>86</v>
      </c>
    </row>
    <row r="7" spans="2:11" x14ac:dyDescent="0.2">
      <c r="B7" s="7" t="s">
        <v>113</v>
      </c>
      <c r="C7" s="19" t="s">
        <v>10</v>
      </c>
      <c r="E7" s="79">
        <v>1</v>
      </c>
      <c r="F7" s="79">
        <v>1</v>
      </c>
      <c r="G7" s="79">
        <v>1</v>
      </c>
      <c r="H7" s="79">
        <v>1</v>
      </c>
      <c r="I7" s="79">
        <v>1</v>
      </c>
      <c r="K7" s="32"/>
    </row>
    <row r="8" spans="2:11" x14ac:dyDescent="0.2">
      <c r="B8" s="7" t="s">
        <v>114</v>
      </c>
      <c r="C8" s="19" t="s">
        <v>10</v>
      </c>
      <c r="E8" s="79">
        <v>1</v>
      </c>
      <c r="F8" s="79">
        <v>1</v>
      </c>
      <c r="G8" s="79">
        <v>1</v>
      </c>
      <c r="H8" s="79">
        <v>2</v>
      </c>
      <c r="I8" s="79">
        <v>2</v>
      </c>
    </row>
    <row r="9" spans="2:11" x14ac:dyDescent="0.2">
      <c r="B9" s="8" t="s">
        <v>87</v>
      </c>
      <c r="E9" s="80"/>
      <c r="F9" s="80"/>
      <c r="G9" s="80"/>
      <c r="H9" s="80"/>
      <c r="I9" s="80"/>
    </row>
    <row r="10" spans="2:11" x14ac:dyDescent="0.2">
      <c r="B10" s="7" t="s">
        <v>115</v>
      </c>
      <c r="C10" s="19" t="s">
        <v>10</v>
      </c>
      <c r="E10" s="79">
        <v>2</v>
      </c>
      <c r="F10" s="79">
        <v>2</v>
      </c>
      <c r="G10" s="79">
        <v>3</v>
      </c>
      <c r="H10" s="79">
        <v>3</v>
      </c>
      <c r="I10" s="79">
        <v>4</v>
      </c>
      <c r="K10" s="5" t="s">
        <v>96</v>
      </c>
    </row>
    <row r="11" spans="2:11" x14ac:dyDescent="0.2">
      <c r="B11" s="8" t="s">
        <v>88</v>
      </c>
      <c r="E11" s="80"/>
      <c r="F11" s="80"/>
      <c r="G11" s="80"/>
      <c r="H11" s="80"/>
      <c r="I11" s="80"/>
    </row>
    <row r="12" spans="2:11" x14ac:dyDescent="0.2">
      <c r="B12" s="7" t="s">
        <v>116</v>
      </c>
      <c r="C12" s="19" t="s">
        <v>10</v>
      </c>
      <c r="E12" s="81">
        <v>1</v>
      </c>
      <c r="F12" s="81">
        <v>1</v>
      </c>
      <c r="G12" s="81">
        <v>1</v>
      </c>
      <c r="H12" s="81">
        <v>2</v>
      </c>
      <c r="I12" s="81">
        <v>2</v>
      </c>
    </row>
    <row r="13" spans="2:11" x14ac:dyDescent="0.2">
      <c r="B13" s="50" t="s">
        <v>32</v>
      </c>
      <c r="C13" s="83" t="s">
        <v>10</v>
      </c>
      <c r="D13" s="83"/>
      <c r="E13" s="84">
        <f>SUM(E7:E12)</f>
        <v>5</v>
      </c>
      <c r="F13" s="84">
        <f t="shared" ref="F13:I13" si="0">SUM(F7:F12)</f>
        <v>5</v>
      </c>
      <c r="G13" s="84">
        <f t="shared" si="0"/>
        <v>6</v>
      </c>
      <c r="H13" s="84">
        <f t="shared" si="0"/>
        <v>8</v>
      </c>
      <c r="I13" s="84">
        <f t="shared" si="0"/>
        <v>9</v>
      </c>
    </row>
    <row r="14" spans="2:11" x14ac:dyDescent="0.2">
      <c r="B14" s="74" t="s">
        <v>5</v>
      </c>
      <c r="C14" s="75"/>
      <c r="D14" s="75"/>
      <c r="E14" s="76"/>
      <c r="F14" s="76"/>
      <c r="G14" s="76"/>
      <c r="H14" s="76"/>
      <c r="I14" s="76"/>
    </row>
    <row r="15" spans="2:11" x14ac:dyDescent="0.2">
      <c r="B15" s="8" t="s">
        <v>86</v>
      </c>
    </row>
    <row r="16" spans="2:11" x14ac:dyDescent="0.2">
      <c r="B16" s="7" t="s">
        <v>92</v>
      </c>
      <c r="C16" s="19" t="s">
        <v>13</v>
      </c>
      <c r="D16" s="97">
        <v>3000</v>
      </c>
      <c r="E16" s="82">
        <f>D16*E7*12</f>
        <v>36000</v>
      </c>
      <c r="F16" s="82">
        <f>E16*105%/E7*F7</f>
        <v>37800</v>
      </c>
      <c r="G16" s="82">
        <f t="shared" ref="G16:I16" si="1">F16*105%/F7*G7</f>
        <v>39690</v>
      </c>
      <c r="H16" s="82">
        <f t="shared" si="1"/>
        <v>41674.5</v>
      </c>
      <c r="I16" s="82">
        <f t="shared" si="1"/>
        <v>43758.224999999999</v>
      </c>
      <c r="K16" s="5" t="s">
        <v>111</v>
      </c>
    </row>
    <row r="17" spans="2:11" x14ac:dyDescent="0.2">
      <c r="B17" s="7" t="s">
        <v>93</v>
      </c>
      <c r="C17" s="19" t="s">
        <v>13</v>
      </c>
      <c r="D17" s="97">
        <v>3000</v>
      </c>
      <c r="E17" s="82">
        <f>D17*E8*12</f>
        <v>36000</v>
      </c>
      <c r="F17" s="82">
        <f>E17*105%/E8*F8</f>
        <v>37800</v>
      </c>
      <c r="G17" s="82">
        <f t="shared" ref="G17:I17" si="2">F17*105%/F8*G8</f>
        <v>39690</v>
      </c>
      <c r="H17" s="82">
        <f t="shared" si="2"/>
        <v>83349</v>
      </c>
      <c r="I17" s="82">
        <f t="shared" si="2"/>
        <v>87516.45</v>
      </c>
    </row>
    <row r="18" spans="2:11" x14ac:dyDescent="0.2">
      <c r="B18" s="8" t="s">
        <v>87</v>
      </c>
      <c r="D18" s="97"/>
      <c r="E18" s="82"/>
      <c r="F18" s="82"/>
      <c r="G18" s="82"/>
      <c r="H18" s="82"/>
      <c r="I18" s="82"/>
    </row>
    <row r="19" spans="2:11" x14ac:dyDescent="0.2">
      <c r="B19" s="7" t="s">
        <v>117</v>
      </c>
      <c r="C19" s="19" t="s">
        <v>13</v>
      </c>
      <c r="D19" s="97">
        <v>1500</v>
      </c>
      <c r="E19" s="82">
        <f>D19*E10*12</f>
        <v>36000</v>
      </c>
      <c r="F19" s="82">
        <f>E19*105%/E10*F10</f>
        <v>37800</v>
      </c>
      <c r="G19" s="82">
        <f t="shared" ref="G19:I19" si="3">F19*105%/F10*G10</f>
        <v>59535</v>
      </c>
      <c r="H19" s="82">
        <f t="shared" si="3"/>
        <v>62511.75</v>
      </c>
      <c r="I19" s="82">
        <f t="shared" si="3"/>
        <v>87516.450000000012</v>
      </c>
    </row>
    <row r="20" spans="2:11" x14ac:dyDescent="0.2">
      <c r="B20" s="7" t="s">
        <v>118</v>
      </c>
      <c r="C20" s="19" t="s">
        <v>13</v>
      </c>
      <c r="D20" s="97"/>
      <c r="E20" s="82">
        <f>10%*'1-Financial Model'!D15</f>
        <v>1308</v>
      </c>
      <c r="F20" s="82">
        <f>10%*'1-Financial Model'!E15</f>
        <v>2877.6000000000004</v>
      </c>
      <c r="G20" s="82">
        <f>10%*'1-Financial Model'!F15</f>
        <v>5755.2000000000007</v>
      </c>
      <c r="H20" s="82">
        <f>10%*'1-Financial Model'!G15</f>
        <v>8894.4</v>
      </c>
      <c r="I20" s="82">
        <f>10%*'1-Financial Model'!H15</f>
        <v>10725.6</v>
      </c>
      <c r="K20" s="5" t="s">
        <v>139</v>
      </c>
    </row>
    <row r="21" spans="2:11" x14ac:dyDescent="0.2">
      <c r="B21" s="94" t="s">
        <v>32</v>
      </c>
      <c r="C21" s="95"/>
      <c r="D21" s="98"/>
      <c r="E21" s="96">
        <f>SUM(E19:E20)</f>
        <v>37308</v>
      </c>
      <c r="F21" s="96">
        <f t="shared" ref="F21:I21" si="4">SUM(F19:F20)</f>
        <v>40677.599999999999</v>
      </c>
      <c r="G21" s="96">
        <f t="shared" si="4"/>
        <v>65290.2</v>
      </c>
      <c r="H21" s="96">
        <f t="shared" si="4"/>
        <v>71406.149999999994</v>
      </c>
      <c r="I21" s="96">
        <f t="shared" si="4"/>
        <v>98242.050000000017</v>
      </c>
    </row>
    <row r="22" spans="2:11" x14ac:dyDescent="0.2">
      <c r="B22" s="8" t="s">
        <v>88</v>
      </c>
      <c r="D22" s="97"/>
      <c r="E22" s="82"/>
      <c r="F22" s="82"/>
      <c r="G22" s="82"/>
      <c r="H22" s="82"/>
      <c r="I22" s="82"/>
    </row>
    <row r="23" spans="2:11" x14ac:dyDescent="0.2">
      <c r="B23" s="7" t="s">
        <v>89</v>
      </c>
      <c r="C23" s="19" t="s">
        <v>13</v>
      </c>
      <c r="D23" s="97">
        <v>1000</v>
      </c>
      <c r="E23" s="82">
        <f>D23*E12*12</f>
        <v>12000</v>
      </c>
      <c r="F23" s="82">
        <f>E23*105%/E12*F12</f>
        <v>12600</v>
      </c>
      <c r="G23" s="82">
        <f t="shared" ref="G23:I23" si="5">F23*105%/F12*G12</f>
        <v>13230</v>
      </c>
      <c r="H23" s="82">
        <f t="shared" si="5"/>
        <v>27783</v>
      </c>
      <c r="I23" s="82">
        <f t="shared" si="5"/>
        <v>29172.15</v>
      </c>
    </row>
    <row r="24" spans="2:11" ht="16" thickBot="1" x14ac:dyDescent="0.25">
      <c r="B24" s="113" t="s">
        <v>91</v>
      </c>
      <c r="C24" s="114" t="s">
        <v>13</v>
      </c>
      <c r="D24" s="114"/>
      <c r="E24" s="115">
        <f>E16+E17+E21+E23</f>
        <v>121308</v>
      </c>
      <c r="F24" s="115">
        <f t="shared" ref="F24:I24" si="6">F16+F17+F21+F23</f>
        <v>128877.6</v>
      </c>
      <c r="G24" s="115">
        <f t="shared" si="6"/>
        <v>157900.20000000001</v>
      </c>
      <c r="H24" s="115">
        <f t="shared" si="6"/>
        <v>224212.65</v>
      </c>
      <c r="I24" s="115">
        <f t="shared" si="6"/>
        <v>258688.875</v>
      </c>
    </row>
  </sheetData>
  <mergeCells count="1">
    <mergeCell ref="B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BBC8-B0A0-644F-8CA8-F47B7A7C88D8}">
  <dimension ref="A1:F8"/>
  <sheetViews>
    <sheetView showGridLines="0" workbookViewId="0">
      <pane ySplit="2" topLeftCell="A3" activePane="bottomLeft" state="frozen"/>
      <selection pane="bottomLeft" activeCell="L20" sqref="L20"/>
    </sheetView>
  </sheetViews>
  <sheetFormatPr baseColWidth="10" defaultRowHeight="16" x14ac:dyDescent="0.2"/>
  <cols>
    <col min="1" max="1" width="6.33203125" customWidth="1"/>
    <col min="2" max="5" width="24.33203125" customWidth="1"/>
  </cols>
  <sheetData>
    <row r="1" spans="1:6" ht="19" customHeight="1" x14ac:dyDescent="0.2">
      <c r="A1" s="77"/>
      <c r="B1" s="77"/>
      <c r="C1" s="77"/>
      <c r="D1" s="77"/>
      <c r="E1" s="77"/>
    </row>
    <row r="2" spans="1:6" ht="17" thickBot="1" x14ac:dyDescent="0.25">
      <c r="B2" s="108" t="s">
        <v>24</v>
      </c>
      <c r="C2" s="108" t="s">
        <v>25</v>
      </c>
      <c r="D2" s="108" t="s">
        <v>33</v>
      </c>
      <c r="E2" s="108" t="s">
        <v>26</v>
      </c>
      <c r="F2" s="108" t="s">
        <v>34</v>
      </c>
    </row>
    <row r="3" spans="1:6" ht="17" thickTop="1" x14ac:dyDescent="0.2">
      <c r="B3" t="s">
        <v>27</v>
      </c>
      <c r="C3">
        <v>2</v>
      </c>
      <c r="D3">
        <v>18</v>
      </c>
      <c r="E3" s="27">
        <v>0.15</v>
      </c>
      <c r="F3">
        <f>C3*D3*E3</f>
        <v>5.3999999999999995</v>
      </c>
    </row>
    <row r="4" spans="1:6" x14ac:dyDescent="0.2">
      <c r="B4" t="s">
        <v>28</v>
      </c>
      <c r="C4">
        <v>2</v>
      </c>
      <c r="D4">
        <v>28</v>
      </c>
      <c r="E4" s="27">
        <v>0.2</v>
      </c>
      <c r="F4">
        <f t="shared" ref="F4:F7" si="0">C4*D4*E4</f>
        <v>11.200000000000001</v>
      </c>
    </row>
    <row r="5" spans="1:6" x14ac:dyDescent="0.2">
      <c r="B5" t="s">
        <v>29</v>
      </c>
      <c r="C5">
        <v>3</v>
      </c>
      <c r="D5">
        <v>34</v>
      </c>
      <c r="E5" s="27">
        <v>0.22</v>
      </c>
      <c r="F5">
        <f t="shared" si="0"/>
        <v>22.44</v>
      </c>
    </row>
    <row r="6" spans="1:6" x14ac:dyDescent="0.2">
      <c r="B6" t="s">
        <v>30</v>
      </c>
      <c r="C6">
        <v>3</v>
      </c>
      <c r="D6">
        <v>50</v>
      </c>
      <c r="E6" s="27">
        <v>0.23</v>
      </c>
      <c r="F6">
        <f t="shared" si="0"/>
        <v>34.5</v>
      </c>
    </row>
    <row r="7" spans="1:6" x14ac:dyDescent="0.2">
      <c r="A7" s="78"/>
      <c r="B7" t="s">
        <v>31</v>
      </c>
      <c r="C7">
        <v>4</v>
      </c>
      <c r="D7">
        <v>40</v>
      </c>
      <c r="E7" s="27">
        <v>0.25</v>
      </c>
      <c r="F7" s="28">
        <f t="shared" si="0"/>
        <v>40</v>
      </c>
    </row>
    <row r="8" spans="1:6" ht="17" thickBot="1" x14ac:dyDescent="0.25">
      <c r="B8" s="111" t="s">
        <v>32</v>
      </c>
      <c r="C8" s="112"/>
      <c r="D8" s="112"/>
      <c r="E8" s="112"/>
      <c r="F8" s="111">
        <f>SUM(F3:F7)</f>
        <v>113.54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0929-B1A6-CB42-A820-1DACC7A23209}">
  <dimension ref="B2:F11"/>
  <sheetViews>
    <sheetView showGridLines="0" workbookViewId="0">
      <selection activeCell="H33" sqref="H33"/>
    </sheetView>
  </sheetViews>
  <sheetFormatPr baseColWidth="10" defaultRowHeight="16" x14ac:dyDescent="0.2"/>
  <cols>
    <col min="2" max="6" width="15.6640625" customWidth="1"/>
  </cols>
  <sheetData>
    <row r="2" spans="2:6" ht="17" thickBot="1" x14ac:dyDescent="0.25">
      <c r="B2" s="109" t="s">
        <v>24</v>
      </c>
      <c r="C2" s="109" t="s">
        <v>140</v>
      </c>
      <c r="D2" s="109" t="s">
        <v>142</v>
      </c>
      <c r="E2" s="109" t="s">
        <v>141</v>
      </c>
      <c r="F2" s="109" t="s">
        <v>145</v>
      </c>
    </row>
    <row r="3" spans="2:6" ht="17" thickTop="1" x14ac:dyDescent="0.2">
      <c r="B3">
        <v>0</v>
      </c>
      <c r="C3" s="110">
        <f>-400000</f>
        <v>-400000</v>
      </c>
      <c r="D3" s="27">
        <v>0.2</v>
      </c>
      <c r="E3">
        <f>1/(1+D3)^B3</f>
        <v>1</v>
      </c>
      <c r="F3" s="110">
        <f>C3*E3</f>
        <v>-400000</v>
      </c>
    </row>
    <row r="4" spans="2:6" x14ac:dyDescent="0.2">
      <c r="B4">
        <v>1</v>
      </c>
      <c r="C4" s="110">
        <f>'1-Financial Model'!D62</f>
        <v>-108935</v>
      </c>
      <c r="D4" s="27">
        <v>0.2</v>
      </c>
      <c r="E4">
        <f>1/(1+D4)^B4</f>
        <v>0.83333333333333337</v>
      </c>
      <c r="F4" s="110">
        <f t="shared" ref="F4:F8" si="0">C4*E4</f>
        <v>-90779.166666666672</v>
      </c>
    </row>
    <row r="5" spans="2:6" x14ac:dyDescent="0.2">
      <c r="B5">
        <v>2</v>
      </c>
      <c r="C5" s="110">
        <f>'1-Financial Model'!E62</f>
        <v>126105.55360000001</v>
      </c>
      <c r="D5" s="27">
        <v>0.2</v>
      </c>
      <c r="E5">
        <f t="shared" ref="E5:E8" si="1">1/(1+D5)^B5</f>
        <v>0.69444444444444442</v>
      </c>
      <c r="F5" s="110">
        <f t="shared" si="0"/>
        <v>87573.301111111112</v>
      </c>
    </row>
    <row r="6" spans="2:6" x14ac:dyDescent="0.2">
      <c r="B6">
        <v>3</v>
      </c>
      <c r="C6" s="110">
        <f>'1-Financial Model'!F62</f>
        <v>422111.84642655385</v>
      </c>
      <c r="D6" s="27">
        <v>0.2</v>
      </c>
      <c r="E6">
        <f t="shared" si="1"/>
        <v>0.57870370370370372</v>
      </c>
      <c r="F6" s="110">
        <f>C6*E6</f>
        <v>244277.68890425572</v>
      </c>
    </row>
    <row r="7" spans="2:6" x14ac:dyDescent="0.2">
      <c r="B7">
        <v>4</v>
      </c>
      <c r="C7" s="110">
        <f>'1-Financial Model'!G62</f>
        <v>916434.8586419241</v>
      </c>
      <c r="D7" s="27">
        <v>0.2</v>
      </c>
      <c r="E7">
        <f t="shared" si="1"/>
        <v>0.48225308641975312</v>
      </c>
      <c r="F7" s="110">
        <f>C7*E7</f>
        <v>441953.53908271808</v>
      </c>
    </row>
    <row r="8" spans="2:6" x14ac:dyDescent="0.2">
      <c r="B8">
        <v>5</v>
      </c>
      <c r="C8" s="110">
        <f>'1-Financial Model'!H62</f>
        <v>1587004.4877734098</v>
      </c>
      <c r="D8" s="27">
        <v>0.2</v>
      </c>
      <c r="E8">
        <f t="shared" si="1"/>
        <v>0.4018775720164609</v>
      </c>
      <c r="F8" s="110">
        <f t="shared" si="0"/>
        <v>637781.51032560517</v>
      </c>
    </row>
    <row r="9" spans="2:6" ht="17" thickBot="1" x14ac:dyDescent="0.25">
      <c r="B9" s="111" t="s">
        <v>143</v>
      </c>
      <c r="C9" s="112"/>
      <c r="D9" s="112"/>
      <c r="E9" s="112"/>
      <c r="F9" s="119">
        <f>SUM(F3:F8)</f>
        <v>920806.87275702343</v>
      </c>
    </row>
    <row r="11" spans="2:6" x14ac:dyDescent="0.2">
      <c r="B11" s="120" t="s">
        <v>144</v>
      </c>
      <c r="C11" s="121">
        <f>IRR(C3:C8)</f>
        <v>0.57713141976926741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E23E-CC87-304C-A628-D9D0146AE47D}">
  <dimension ref="A1:H16"/>
  <sheetViews>
    <sheetView workbookViewId="0">
      <selection activeCell="B24" sqref="B24"/>
    </sheetView>
  </sheetViews>
  <sheetFormatPr baseColWidth="10" defaultRowHeight="16" x14ac:dyDescent="0.2"/>
  <cols>
    <col min="1" max="1" width="24.5" bestFit="1" customWidth="1"/>
    <col min="2" max="2" width="33.83203125" bestFit="1" customWidth="1"/>
  </cols>
  <sheetData>
    <row r="1" spans="1:8" x14ac:dyDescent="0.2">
      <c r="A1" t="s">
        <v>15</v>
      </c>
      <c r="B1" s="25" t="s">
        <v>16</v>
      </c>
    </row>
    <row r="2" spans="1:8" x14ac:dyDescent="0.2">
      <c r="A2" t="s">
        <v>17</v>
      </c>
      <c r="B2" s="25" t="s">
        <v>18</v>
      </c>
    </row>
    <row r="3" spans="1:8" x14ac:dyDescent="0.2">
      <c r="A3" t="s">
        <v>40</v>
      </c>
      <c r="B3" s="25" t="s">
        <v>41</v>
      </c>
    </row>
    <row r="4" spans="1:8" ht="81" customHeight="1" x14ac:dyDescent="0.2">
      <c r="A4" s="31" t="s">
        <v>42</v>
      </c>
      <c r="B4" s="125" t="s">
        <v>45</v>
      </c>
      <c r="C4" s="125"/>
      <c r="D4" s="125"/>
      <c r="E4" s="125"/>
      <c r="F4" s="125"/>
      <c r="G4" s="125"/>
      <c r="H4" s="125"/>
    </row>
    <row r="5" spans="1:8" x14ac:dyDescent="0.2">
      <c r="A5" t="s">
        <v>44</v>
      </c>
      <c r="B5" s="25" t="s">
        <v>43</v>
      </c>
    </row>
    <row r="7" spans="1:8" x14ac:dyDescent="0.2">
      <c r="A7" s="126"/>
      <c r="B7" s="126"/>
      <c r="C7" s="127"/>
      <c r="D7" s="127"/>
      <c r="E7" s="127"/>
    </row>
    <row r="8" spans="1:8" x14ac:dyDescent="0.2">
      <c r="A8" s="127"/>
      <c r="B8" s="127"/>
      <c r="C8" s="127"/>
      <c r="D8" s="127"/>
      <c r="E8" s="127"/>
    </row>
    <row r="9" spans="1:8" x14ac:dyDescent="0.2">
      <c r="A9" s="127"/>
      <c r="B9" s="127"/>
      <c r="C9" s="127"/>
      <c r="D9" s="127"/>
      <c r="E9" s="127"/>
    </row>
    <row r="10" spans="1:8" x14ac:dyDescent="0.2">
      <c r="A10" s="127"/>
      <c r="B10" s="127"/>
      <c r="C10" s="127"/>
      <c r="D10" s="127"/>
      <c r="E10" s="127"/>
    </row>
    <row r="11" spans="1:8" x14ac:dyDescent="0.2">
      <c r="A11" s="127"/>
      <c r="B11" s="127"/>
      <c r="C11" s="127"/>
      <c r="D11" s="127"/>
      <c r="E11" s="127"/>
    </row>
    <row r="12" spans="1:8" x14ac:dyDescent="0.2">
      <c r="A12" s="127"/>
      <c r="B12" s="127"/>
      <c r="C12" s="127"/>
      <c r="D12" s="127"/>
      <c r="E12" s="127"/>
    </row>
    <row r="13" spans="1:8" x14ac:dyDescent="0.2">
      <c r="A13" s="127"/>
      <c r="B13" s="127"/>
      <c r="C13" s="127"/>
      <c r="D13" s="127"/>
      <c r="E13" s="127"/>
    </row>
    <row r="14" spans="1:8" x14ac:dyDescent="0.2">
      <c r="A14" s="127"/>
      <c r="B14" s="127"/>
      <c r="C14" s="127"/>
      <c r="D14" s="127"/>
      <c r="E14" s="127"/>
    </row>
    <row r="15" spans="1:8" x14ac:dyDescent="0.2">
      <c r="A15" s="127"/>
      <c r="B15" s="126"/>
      <c r="C15" s="127"/>
      <c r="D15" s="127"/>
      <c r="E15" s="127"/>
    </row>
    <row r="16" spans="1:8" x14ac:dyDescent="0.2">
      <c r="A16" s="127"/>
      <c r="B16" s="127"/>
      <c r="C16" s="127"/>
      <c r="D16" s="127"/>
      <c r="E16" s="127"/>
    </row>
  </sheetData>
  <mergeCells count="1">
    <mergeCell ref="B4:H4"/>
  </mergeCells>
  <hyperlinks>
    <hyperlink ref="B2" r:id="rId1" xr:uid="{0A664B9A-4E79-1C44-A72A-3E38B0B1EA41}"/>
    <hyperlink ref="B5" r:id="rId2" xr:uid="{D08C2376-23BE-5443-BCCE-A474BDD239F4}"/>
    <hyperlink ref="B3" r:id="rId3" xr:uid="{4BC0AC7E-F2B1-944B-B713-3E6D282AD8CE}"/>
    <hyperlink ref="B4" r:id="rId4" display="https://www.aftygh.gov.tw/english-dep/nursing-home/?utm_source=chatgpt.com" xr:uid="{A1E8A168-15C4-DA44-A0CA-1FA5366B1196}"/>
    <hyperlink ref="B1" r:id="rId5" xr:uid="{FB1CB43D-FA8D-3B4B-8B91-DD8B3BDAD7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1-Financial Model</vt:lpstr>
      <vt:lpstr>2-Monthly Service Revenue</vt:lpstr>
      <vt:lpstr>3-Human Resource</vt:lpstr>
      <vt:lpstr>4-BD Scaling </vt:lpstr>
      <vt:lpstr>5-NPV IRR</vt:lpstr>
      <vt:lpstr>6-Reference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Phạm Tuấn Anh</cp:lastModifiedBy>
  <dcterms:created xsi:type="dcterms:W3CDTF">2022-08-22T01:16:26Z</dcterms:created>
  <dcterms:modified xsi:type="dcterms:W3CDTF">2026-03-09T13:40:37Z</dcterms:modified>
</cp:coreProperties>
</file>